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ristinamagylaite/Desktop/"/>
    </mc:Choice>
  </mc:AlternateContent>
  <xr:revisionPtr revIDLastSave="0" documentId="13_ncr:1_{144F94C0-B7EF-E647-872F-821E9C3B1636}" xr6:coauthVersionLast="47" xr6:coauthVersionMax="47" xr10:uidLastSave="{00000000-0000-0000-0000-000000000000}"/>
  <bookViews>
    <workbookView xWindow="0" yWindow="760" windowWidth="30240" windowHeight="18880" xr2:uid="{6CF63F3F-F3D3-E04E-B4B6-8DEEF3B508AD}"/>
  </bookViews>
  <sheets>
    <sheet name="READ ME" sheetId="38" r:id="rId1"/>
    <sheet name="Results" sheetId="13" r:id="rId2"/>
    <sheet name="Results by recommendation categ" sheetId="1" r:id="rId3"/>
    <sheet name="Duolingo" sheetId="2" r:id="rId4"/>
    <sheet name="Duolingo ABC" sheetId="3" r:id="rId5"/>
    <sheet name="Khan academy" sheetId="5" r:id="rId6"/>
    <sheet name="Khan academy kids" sheetId="6" r:id="rId7"/>
    <sheet name="Headspace" sheetId="7" r:id="rId8"/>
    <sheet name="FITBIT" sheetId="4" r:id="rId9"/>
    <sheet name="CodeAcademyGo" sheetId="37" r:id="rId10"/>
    <sheet name="Fortune city" sheetId="35" r:id="rId11"/>
    <sheet name="Habitica" sheetId="8" r:id="rId12"/>
    <sheet name="Memrise" sheetId="9" r:id="rId13"/>
    <sheet name="Brilliant" sheetId="10" r:id="rId14"/>
    <sheet name="Fabulous" sheetId="11" r:id="rId15"/>
    <sheet name="Clarify by fabulous" sheetId="16" r:id="rId16"/>
    <sheet name="Strava" sheetId="14" r:id="rId17"/>
    <sheet name="SuperBetter" sheetId="15" r:id="rId18"/>
    <sheet name="Lumosity" sheetId="17" r:id="rId19"/>
    <sheet name="Sidekick Health" sheetId="18" r:id="rId20"/>
    <sheet name="ABCmouse" sheetId="19" r:id="rId21"/>
    <sheet name="CogniFit" sheetId="20" r:id="rId22"/>
    <sheet name="Shape by fabulous" sheetId="21" r:id="rId23"/>
    <sheet name="Habit Tracker - Habit Mate" sheetId="22" r:id="rId24"/>
    <sheet name="TaskGame - Gamify your life" sheetId="23" r:id="rId25"/>
    <sheet name="Habio - Simple Habit Tracker" sheetId="24" r:id="rId26"/>
    <sheet name="Walken" sheetId="25" r:id="rId27"/>
    <sheet name="Narn  Habit Tracker &amp; Goals" sheetId="26" r:id="rId28"/>
    <sheet name="Aula Lengua" sheetId="27" r:id="rId29"/>
    <sheet name="Foursquare Swarm - Check In" sheetId="28" r:id="rId30"/>
    <sheet name="Roomsy  Chores Tracker &amp; Chart" sheetId="29" r:id="rId31"/>
    <sheet name="Fitmint - Walk &amp; Steps Tracker" sheetId="30" r:id="rId32"/>
    <sheet name="Workout Quest - Gamified Gym " sheetId="31" r:id="rId33"/>
    <sheet name="Death Reminder App" sheetId="32" r:id="rId34"/>
    <sheet name="Pharmacy Crack  Rx Drug Trivia" sheetId="34" r:id="rId35"/>
    <sheet name="Gametize  Explore Experiences" sheetId="33" r:id="rId3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3" l="1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D40" i="34"/>
  <c r="D41" i="33"/>
  <c r="D41" i="32"/>
  <c r="D41" i="31"/>
  <c r="D42" i="30"/>
  <c r="D42" i="29"/>
  <c r="D41" i="28"/>
  <c r="D40" i="27"/>
  <c r="D41" i="26"/>
  <c r="D42" i="25"/>
  <c r="D41" i="24"/>
  <c r="D41" i="23"/>
  <c r="D42" i="22"/>
  <c r="D42" i="21"/>
  <c r="D44" i="20"/>
  <c r="D42" i="19"/>
  <c r="D41" i="18"/>
  <c r="D42" i="17"/>
  <c r="D42" i="15"/>
  <c r="D42" i="14"/>
  <c r="D42" i="16"/>
  <c r="D42" i="11"/>
  <c r="D41" i="10"/>
  <c r="D41" i="9"/>
  <c r="D41" i="8"/>
  <c r="D41" i="35"/>
  <c r="D41" i="37"/>
  <c r="E31" i="4"/>
  <c r="D41" i="7"/>
  <c r="D41" i="6" l="1"/>
  <c r="D41" i="5"/>
  <c r="F2" i="13"/>
  <c r="F3" i="13"/>
  <c r="E33" i="3" l="1"/>
  <c r="H3" i="13" s="1"/>
  <c r="E40" i="2"/>
  <c r="C10" i="1" l="1"/>
  <c r="C6" i="1"/>
  <c r="AH6" i="1"/>
  <c r="AH2" i="1"/>
  <c r="U6" i="1"/>
  <c r="U2" i="1"/>
  <c r="AC6" i="1"/>
  <c r="AC2" i="1"/>
  <c r="Y2" i="1"/>
  <c r="X2" i="1"/>
  <c r="J6" i="1"/>
  <c r="J31" i="13"/>
  <c r="AI21" i="1"/>
  <c r="AI22" i="1" s="1"/>
  <c r="L31" i="13" s="1"/>
  <c r="AI15" i="1"/>
  <c r="AI16" i="1" s="1"/>
  <c r="K31" i="13" s="1"/>
  <c r="AI6" i="1"/>
  <c r="AI2" i="1"/>
  <c r="AI10" i="1"/>
  <c r="AI7" i="1" l="1"/>
  <c r="I31" i="13" s="1"/>
  <c r="AC7" i="1"/>
  <c r="I29" i="13" s="1"/>
  <c r="AH7" i="1"/>
  <c r="I26" i="13" s="1"/>
  <c r="N31" i="13"/>
  <c r="U7" i="1"/>
  <c r="I24" i="13" s="1"/>
  <c r="AH21" i="1"/>
  <c r="AH22" i="1" s="1"/>
  <c r="L26" i="13" s="1"/>
  <c r="AH15" i="1"/>
  <c r="AH16" i="1" s="1"/>
  <c r="K26" i="13" s="1"/>
  <c r="AH10" i="1"/>
  <c r="J26" i="13" s="1"/>
  <c r="N26" i="13" l="1"/>
  <c r="AG10" i="1"/>
  <c r="J25" i="13" s="1"/>
  <c r="AG21" i="1"/>
  <c r="AG22" i="1" s="1"/>
  <c r="L25" i="13" s="1"/>
  <c r="AG15" i="1"/>
  <c r="AG16" i="1" s="1"/>
  <c r="K25" i="13" s="1"/>
  <c r="AG6" i="1"/>
  <c r="AG2" i="1"/>
  <c r="M26" i="13"/>
  <c r="M31" i="13"/>
  <c r="AF21" i="1"/>
  <c r="AF22" i="1" s="1"/>
  <c r="L8" i="13" s="1"/>
  <c r="AF15" i="1"/>
  <c r="AF16" i="1" s="1"/>
  <c r="K8" i="13" s="1"/>
  <c r="AF6" i="1"/>
  <c r="AF2" i="1"/>
  <c r="AF10" i="1"/>
  <c r="J8" i="13" s="1"/>
  <c r="AE21" i="1"/>
  <c r="AE22" i="1" s="1"/>
  <c r="L33" i="13" s="1"/>
  <c r="AE15" i="1"/>
  <c r="AE16" i="1" s="1"/>
  <c r="K33" i="13" s="1"/>
  <c r="AE10" i="1"/>
  <c r="J33" i="13" s="1"/>
  <c r="AE6" i="1"/>
  <c r="AE2" i="1"/>
  <c r="AD21" i="1"/>
  <c r="AD22" i="1" s="1"/>
  <c r="L27" i="13" s="1"/>
  <c r="AD15" i="1"/>
  <c r="AD16" i="1" s="1"/>
  <c r="K27" i="13" s="1"/>
  <c r="AD6" i="1"/>
  <c r="AD2" i="1"/>
  <c r="AD10" i="1"/>
  <c r="J27" i="13" s="1"/>
  <c r="AC21" i="1"/>
  <c r="AC22" i="1" s="1"/>
  <c r="L29" i="13" s="1"/>
  <c r="AC15" i="1"/>
  <c r="AC16" i="1" s="1"/>
  <c r="K29" i="13" s="1"/>
  <c r="AC10" i="1"/>
  <c r="J29" i="13"/>
  <c r="AB21" i="1"/>
  <c r="AB22" i="1" s="1"/>
  <c r="L34" i="13" s="1"/>
  <c r="AB15" i="1"/>
  <c r="AB16" i="1" s="1"/>
  <c r="K34" i="13" s="1"/>
  <c r="AB6" i="1"/>
  <c r="AB7" i="1" s="1"/>
  <c r="I34" i="13" s="1"/>
  <c r="AB2" i="1"/>
  <c r="AA21" i="1"/>
  <c r="AA22" i="1" s="1"/>
  <c r="L32" i="13" s="1"/>
  <c r="AA15" i="1"/>
  <c r="AA16" i="1" s="1"/>
  <c r="K32" i="13" s="1"/>
  <c r="AB10" i="1"/>
  <c r="J34" i="13" s="1"/>
  <c r="AA6" i="1"/>
  <c r="AA2" i="1"/>
  <c r="AA10" i="1"/>
  <c r="J32" i="13" s="1"/>
  <c r="Z15" i="1"/>
  <c r="Z16" i="1" s="1"/>
  <c r="K28" i="13" s="1"/>
  <c r="N28" i="13" s="1"/>
  <c r="Z10" i="1"/>
  <c r="J28" i="13" s="1"/>
  <c r="X6" i="1"/>
  <c r="X7" i="1" s="1"/>
  <c r="I23" i="13" s="1"/>
  <c r="Y6" i="1"/>
  <c r="Y7" i="1" s="1"/>
  <c r="I22" i="13" s="1"/>
  <c r="Z6" i="1"/>
  <c r="Z2" i="1"/>
  <c r="Y21" i="1"/>
  <c r="Y22" i="1" s="1"/>
  <c r="L22" i="13" s="1"/>
  <c r="Y15" i="1"/>
  <c r="Y16" i="1"/>
  <c r="K22" i="13" s="1"/>
  <c r="Y10" i="1"/>
  <c r="J22" i="13" s="1"/>
  <c r="W10" i="1"/>
  <c r="J30" i="13" s="1"/>
  <c r="W21" i="1"/>
  <c r="W22" i="1" s="1"/>
  <c r="X21" i="1"/>
  <c r="X22" i="1" s="1"/>
  <c r="W15" i="1"/>
  <c r="W16" i="1" s="1"/>
  <c r="K30" i="13" s="1"/>
  <c r="X15" i="1"/>
  <c r="X16" i="1" s="1"/>
  <c r="K23" i="13" s="1"/>
  <c r="X10" i="1"/>
  <c r="J23" i="13" s="1"/>
  <c r="W6" i="1"/>
  <c r="W7" i="1" s="1"/>
  <c r="I30" i="13" s="1"/>
  <c r="W2" i="1"/>
  <c r="V21" i="1"/>
  <c r="V22" i="1" s="1"/>
  <c r="L18" i="13" s="1"/>
  <c r="V15" i="1"/>
  <c r="V16" i="1" s="1"/>
  <c r="K18" i="13" s="1"/>
  <c r="V10" i="1"/>
  <c r="J18" i="13" s="1"/>
  <c r="V6" i="1"/>
  <c r="V2" i="1"/>
  <c r="U21" i="1"/>
  <c r="U22" i="1" s="1"/>
  <c r="L24" i="13" s="1"/>
  <c r="U15" i="1"/>
  <c r="U16" i="1" s="1"/>
  <c r="K24" i="13" s="1"/>
  <c r="U10" i="1"/>
  <c r="J24" i="13" s="1"/>
  <c r="T21" i="1"/>
  <c r="T22" i="1" s="1"/>
  <c r="L20" i="13" s="1"/>
  <c r="T15" i="1"/>
  <c r="T16" i="1" s="1"/>
  <c r="K20" i="13" s="1"/>
  <c r="T6" i="1"/>
  <c r="T2" i="1"/>
  <c r="T10" i="1"/>
  <c r="J20" i="13" s="1"/>
  <c r="S21" i="1"/>
  <c r="S22" i="1" s="1"/>
  <c r="L16" i="13" s="1"/>
  <c r="S15" i="1"/>
  <c r="S16" i="1" s="1"/>
  <c r="K16" i="13" s="1"/>
  <c r="S6" i="1"/>
  <c r="S2" i="1"/>
  <c r="S7" i="1" s="1"/>
  <c r="I16" i="13" s="1"/>
  <c r="S10" i="1"/>
  <c r="J16" i="13" s="1"/>
  <c r="R21" i="1"/>
  <c r="R22" i="1" s="1"/>
  <c r="L21" i="13" s="1"/>
  <c r="R15" i="1"/>
  <c r="R16" i="1" s="1"/>
  <c r="K21" i="13" s="1"/>
  <c r="R10" i="1"/>
  <c r="J21" i="13" s="1"/>
  <c r="R6" i="1"/>
  <c r="R7" i="1" s="1"/>
  <c r="I21" i="13" s="1"/>
  <c r="Q21" i="1"/>
  <c r="Q22" i="1" s="1"/>
  <c r="L14" i="13" s="1"/>
  <c r="Q15" i="1"/>
  <c r="Q16" i="1" s="1"/>
  <c r="K14" i="13" s="1"/>
  <c r="Q6" i="1"/>
  <c r="Q2" i="1"/>
  <c r="Q10" i="1"/>
  <c r="J14" i="13" s="1"/>
  <c r="P6" i="1"/>
  <c r="P2" i="1"/>
  <c r="P21" i="1"/>
  <c r="P22" i="1" s="1"/>
  <c r="L13" i="13" s="1"/>
  <c r="P15" i="1"/>
  <c r="P16" i="1" s="1"/>
  <c r="K13" i="13" s="1"/>
  <c r="P10" i="1"/>
  <c r="J13" i="13" s="1"/>
  <c r="I21" i="1"/>
  <c r="I22" i="1" s="1"/>
  <c r="L9" i="13" s="1"/>
  <c r="I15" i="1"/>
  <c r="I16" i="1" s="1"/>
  <c r="K9" i="13" s="1"/>
  <c r="I6" i="1"/>
  <c r="J16" i="35"/>
  <c r="I10" i="1"/>
  <c r="J9" i="13" s="1"/>
  <c r="O21" i="1"/>
  <c r="O22" i="1" s="1"/>
  <c r="L19" i="13" s="1"/>
  <c r="O15" i="1"/>
  <c r="O16" i="1" s="1"/>
  <c r="K19" i="13" s="1"/>
  <c r="O6" i="1"/>
  <c r="O2" i="1"/>
  <c r="O10" i="1"/>
  <c r="J19" i="13" s="1"/>
  <c r="N21" i="1"/>
  <c r="N22" i="1" s="1"/>
  <c r="L17" i="13" s="1"/>
  <c r="N15" i="1"/>
  <c r="N16" i="1" s="1"/>
  <c r="K17" i="13" s="1"/>
  <c r="N2" i="1"/>
  <c r="N6" i="1"/>
  <c r="N10" i="1"/>
  <c r="J17" i="13" s="1"/>
  <c r="L2" i="1"/>
  <c r="L6" i="1"/>
  <c r="L10" i="1"/>
  <c r="J12" i="13" s="1"/>
  <c r="H2" i="13"/>
  <c r="M32" i="37"/>
  <c r="L32" i="37"/>
  <c r="K32" i="37"/>
  <c r="I32" i="37"/>
  <c r="Q27" i="37"/>
  <c r="H32" i="37"/>
  <c r="G32" i="37"/>
  <c r="E32" i="37"/>
  <c r="D32" i="37"/>
  <c r="C32" i="37"/>
  <c r="N31" i="37"/>
  <c r="J31" i="37"/>
  <c r="F31" i="37"/>
  <c r="N30" i="37"/>
  <c r="J30" i="37"/>
  <c r="F30" i="37"/>
  <c r="N29" i="37"/>
  <c r="J29" i="37"/>
  <c r="F29" i="37"/>
  <c r="N28" i="37"/>
  <c r="J28" i="37"/>
  <c r="F28" i="37"/>
  <c r="N27" i="37"/>
  <c r="J27" i="37"/>
  <c r="J32" i="37"/>
  <c r="F27" i="37"/>
  <c r="N26" i="37"/>
  <c r="N32" i="37"/>
  <c r="J26" i="37"/>
  <c r="F26" i="37"/>
  <c r="F32" i="37"/>
  <c r="M20" i="37"/>
  <c r="L20" i="37"/>
  <c r="K20" i="37"/>
  <c r="I20" i="37"/>
  <c r="H20" i="37"/>
  <c r="G20" i="37"/>
  <c r="E20" i="37"/>
  <c r="D20" i="37"/>
  <c r="C20" i="37"/>
  <c r="N19" i="37"/>
  <c r="J19" i="37"/>
  <c r="F19" i="37"/>
  <c r="N18" i="37"/>
  <c r="J18" i="37"/>
  <c r="F18" i="37"/>
  <c r="N17" i="37"/>
  <c r="J17" i="37"/>
  <c r="F17" i="37"/>
  <c r="N16" i="37"/>
  <c r="J16" i="37"/>
  <c r="F16" i="37"/>
  <c r="N15" i="37"/>
  <c r="J15" i="37"/>
  <c r="F15" i="37"/>
  <c r="N14" i="37"/>
  <c r="J14" i="37"/>
  <c r="F14" i="37"/>
  <c r="N13" i="37"/>
  <c r="J13" i="37"/>
  <c r="F13" i="37"/>
  <c r="N12" i="37"/>
  <c r="J12" i="37"/>
  <c r="F12" i="37"/>
  <c r="N11" i="37"/>
  <c r="J11" i="37"/>
  <c r="F11" i="37"/>
  <c r="N10" i="37"/>
  <c r="J10" i="37"/>
  <c r="F10" i="37"/>
  <c r="N9" i="37"/>
  <c r="J9" i="37"/>
  <c r="F9" i="37"/>
  <c r="N8" i="37"/>
  <c r="J8" i="37"/>
  <c r="F8" i="37"/>
  <c r="N7" i="37"/>
  <c r="J7" i="37"/>
  <c r="F7" i="37"/>
  <c r="N6" i="37"/>
  <c r="J6" i="37"/>
  <c r="F6" i="37"/>
  <c r="N5" i="37"/>
  <c r="J5" i="37"/>
  <c r="F5" i="37"/>
  <c r="M32" i="35"/>
  <c r="L32" i="35"/>
  <c r="K32" i="35"/>
  <c r="I32" i="35"/>
  <c r="Q27" i="35"/>
  <c r="H32" i="35"/>
  <c r="G32" i="35"/>
  <c r="E32" i="35"/>
  <c r="D32" i="35"/>
  <c r="C32" i="35"/>
  <c r="N31" i="35"/>
  <c r="J31" i="35"/>
  <c r="F31" i="35"/>
  <c r="N30" i="35"/>
  <c r="J30" i="35"/>
  <c r="F30" i="35"/>
  <c r="N29" i="35"/>
  <c r="J29" i="35"/>
  <c r="F29" i="35"/>
  <c r="N28" i="35"/>
  <c r="J28" i="35"/>
  <c r="F28" i="35"/>
  <c r="N27" i="35"/>
  <c r="J27" i="35"/>
  <c r="F27" i="35"/>
  <c r="N26" i="35"/>
  <c r="J26" i="35"/>
  <c r="F26" i="35"/>
  <c r="M20" i="35"/>
  <c r="L20" i="35"/>
  <c r="K20" i="35"/>
  <c r="I20" i="35"/>
  <c r="H20" i="35"/>
  <c r="G20" i="35"/>
  <c r="E20" i="35"/>
  <c r="D20" i="35"/>
  <c r="C20" i="35"/>
  <c r="N19" i="35"/>
  <c r="J19" i="35"/>
  <c r="F19" i="35"/>
  <c r="N18" i="35"/>
  <c r="J18" i="35"/>
  <c r="F18" i="35"/>
  <c r="N17" i="35"/>
  <c r="J17" i="35"/>
  <c r="F17" i="35"/>
  <c r="N15" i="35"/>
  <c r="J15" i="35"/>
  <c r="F15" i="35"/>
  <c r="N14" i="35"/>
  <c r="J14" i="35"/>
  <c r="F14" i="35"/>
  <c r="N13" i="35"/>
  <c r="J13" i="35"/>
  <c r="F13" i="35"/>
  <c r="N12" i="35"/>
  <c r="J12" i="35"/>
  <c r="F12" i="35"/>
  <c r="N11" i="35"/>
  <c r="J11" i="35"/>
  <c r="F11" i="35"/>
  <c r="N10" i="35"/>
  <c r="J10" i="35"/>
  <c r="F10" i="35"/>
  <c r="N9" i="35"/>
  <c r="J9" i="35"/>
  <c r="F9" i="35"/>
  <c r="N8" i="35"/>
  <c r="J8" i="35"/>
  <c r="F8" i="35"/>
  <c r="N7" i="35"/>
  <c r="J7" i="35"/>
  <c r="F7" i="35"/>
  <c r="N6" i="35"/>
  <c r="J6" i="35"/>
  <c r="F6" i="35"/>
  <c r="N5" i="35"/>
  <c r="J5" i="35"/>
  <c r="F5" i="35"/>
  <c r="M32" i="34"/>
  <c r="L32" i="34"/>
  <c r="K32" i="34"/>
  <c r="I32" i="34"/>
  <c r="H32" i="34"/>
  <c r="Q26" i="34"/>
  <c r="G32" i="34"/>
  <c r="E32" i="34"/>
  <c r="D32" i="34"/>
  <c r="C32" i="34"/>
  <c r="N31" i="34"/>
  <c r="J31" i="34"/>
  <c r="F31" i="34"/>
  <c r="N30" i="34"/>
  <c r="J30" i="34"/>
  <c r="F30" i="34"/>
  <c r="N29" i="34"/>
  <c r="J29" i="34"/>
  <c r="J32" i="34" s="1"/>
  <c r="F29" i="34"/>
  <c r="N28" i="34"/>
  <c r="J28" i="34"/>
  <c r="F28" i="34"/>
  <c r="N27" i="34"/>
  <c r="J27" i="34"/>
  <c r="F27" i="34"/>
  <c r="F32" i="34" s="1"/>
  <c r="N26" i="34"/>
  <c r="N32" i="34" s="1"/>
  <c r="J26" i="34"/>
  <c r="F26" i="34"/>
  <c r="M20" i="34"/>
  <c r="L20" i="34"/>
  <c r="K20" i="34"/>
  <c r="I20" i="34"/>
  <c r="H20" i="34"/>
  <c r="G20" i="34"/>
  <c r="E20" i="34"/>
  <c r="D20" i="34"/>
  <c r="C20" i="34"/>
  <c r="Q6" i="34" s="1"/>
  <c r="Q9" i="34" s="1"/>
  <c r="N19" i="34"/>
  <c r="J19" i="34"/>
  <c r="F19" i="34"/>
  <c r="N18" i="34"/>
  <c r="J18" i="34"/>
  <c r="F18" i="34"/>
  <c r="N17" i="34"/>
  <c r="J17" i="34"/>
  <c r="F17" i="34"/>
  <c r="N16" i="34"/>
  <c r="J16" i="34"/>
  <c r="F16" i="34"/>
  <c r="N15" i="34"/>
  <c r="J15" i="34"/>
  <c r="F15" i="34"/>
  <c r="N14" i="34"/>
  <c r="J14" i="34"/>
  <c r="F14" i="34"/>
  <c r="N13" i="34"/>
  <c r="J13" i="34"/>
  <c r="F13" i="34"/>
  <c r="N12" i="34"/>
  <c r="J12" i="34"/>
  <c r="F12" i="34"/>
  <c r="N11" i="34"/>
  <c r="J11" i="34"/>
  <c r="F11" i="34"/>
  <c r="N10" i="34"/>
  <c r="J10" i="34"/>
  <c r="F10" i="34"/>
  <c r="N9" i="34"/>
  <c r="J9" i="34"/>
  <c r="F9" i="34"/>
  <c r="N8" i="34"/>
  <c r="J8" i="34"/>
  <c r="F8" i="34"/>
  <c r="N7" i="34"/>
  <c r="J7" i="34"/>
  <c r="F7" i="34"/>
  <c r="N6" i="34"/>
  <c r="N20" i="34" s="1"/>
  <c r="J6" i="34"/>
  <c r="F6" i="34"/>
  <c r="F20" i="34" s="1"/>
  <c r="N5" i="34"/>
  <c r="J5" i="34"/>
  <c r="J20" i="34" s="1"/>
  <c r="F5" i="34"/>
  <c r="M32" i="33"/>
  <c r="L32" i="33"/>
  <c r="K32" i="33"/>
  <c r="I32" i="33"/>
  <c r="Q27" i="33"/>
  <c r="H32" i="33"/>
  <c r="G32" i="33"/>
  <c r="E32" i="33"/>
  <c r="D32" i="33"/>
  <c r="C32" i="33"/>
  <c r="N31" i="33"/>
  <c r="J31" i="33"/>
  <c r="F31" i="33"/>
  <c r="N30" i="33"/>
  <c r="J30" i="33"/>
  <c r="F30" i="33"/>
  <c r="N29" i="33"/>
  <c r="J29" i="33"/>
  <c r="F29" i="33"/>
  <c r="N28" i="33"/>
  <c r="J28" i="33"/>
  <c r="F28" i="33"/>
  <c r="N27" i="33"/>
  <c r="J27" i="33"/>
  <c r="F27" i="33"/>
  <c r="Q26" i="33"/>
  <c r="N26" i="33"/>
  <c r="N32" i="33"/>
  <c r="J26" i="33"/>
  <c r="J32" i="33"/>
  <c r="F26" i="33"/>
  <c r="F32" i="33"/>
  <c r="M20" i="33"/>
  <c r="L20" i="33"/>
  <c r="K20" i="33"/>
  <c r="I20" i="33"/>
  <c r="H20" i="33"/>
  <c r="G20" i="33"/>
  <c r="Q6" i="33"/>
  <c r="E20" i="33"/>
  <c r="D20" i="33"/>
  <c r="C20" i="33"/>
  <c r="N19" i="33"/>
  <c r="J19" i="33"/>
  <c r="F19" i="33"/>
  <c r="N18" i="33"/>
  <c r="J18" i="33"/>
  <c r="F18" i="33"/>
  <c r="N17" i="33"/>
  <c r="J17" i="33"/>
  <c r="F17" i="33"/>
  <c r="N16" i="33"/>
  <c r="J16" i="33"/>
  <c r="F16" i="33"/>
  <c r="N15" i="33"/>
  <c r="J15" i="33"/>
  <c r="F15" i="33"/>
  <c r="N14" i="33"/>
  <c r="J14" i="33"/>
  <c r="F14" i="33"/>
  <c r="N13" i="33"/>
  <c r="J13" i="33"/>
  <c r="F13" i="33"/>
  <c r="N12" i="33"/>
  <c r="J12" i="33"/>
  <c r="F12" i="33"/>
  <c r="N11" i="33"/>
  <c r="J11" i="33"/>
  <c r="F11" i="33"/>
  <c r="N10" i="33"/>
  <c r="J10" i="33"/>
  <c r="F10" i="33"/>
  <c r="N9" i="33"/>
  <c r="J9" i="33"/>
  <c r="F9" i="33"/>
  <c r="N8" i="33"/>
  <c r="J8" i="33"/>
  <c r="F8" i="33"/>
  <c r="N7" i="33"/>
  <c r="J7" i="33"/>
  <c r="F7" i="33"/>
  <c r="N6" i="33"/>
  <c r="N20" i="33"/>
  <c r="J6" i="33"/>
  <c r="F6" i="33"/>
  <c r="N5" i="33"/>
  <c r="J5" i="33"/>
  <c r="F5" i="33"/>
  <c r="M32" i="32"/>
  <c r="L32" i="32"/>
  <c r="K32" i="32"/>
  <c r="I32" i="32"/>
  <c r="H32" i="32"/>
  <c r="G32" i="32"/>
  <c r="E32" i="32"/>
  <c r="D32" i="32"/>
  <c r="C32" i="32"/>
  <c r="N31" i="32"/>
  <c r="J31" i="32"/>
  <c r="F31" i="32"/>
  <c r="N30" i="32"/>
  <c r="J30" i="32"/>
  <c r="F30" i="32"/>
  <c r="N29" i="32"/>
  <c r="J29" i="32"/>
  <c r="F29" i="32"/>
  <c r="N28" i="32"/>
  <c r="J28" i="32"/>
  <c r="F28" i="32"/>
  <c r="Q27" i="32"/>
  <c r="N27" i="32"/>
  <c r="J27" i="32"/>
  <c r="F27" i="32"/>
  <c r="N26" i="32"/>
  <c r="J26" i="32"/>
  <c r="F26" i="32"/>
  <c r="F32" i="32"/>
  <c r="M20" i="32"/>
  <c r="Q8" i="32"/>
  <c r="L20" i="32"/>
  <c r="K20" i="32"/>
  <c r="I20" i="32"/>
  <c r="H20" i="32"/>
  <c r="Q7" i="32"/>
  <c r="G20" i="32"/>
  <c r="E20" i="32"/>
  <c r="D20" i="32"/>
  <c r="C20" i="32"/>
  <c r="N19" i="32"/>
  <c r="J19" i="32"/>
  <c r="F19" i="32"/>
  <c r="N18" i="32"/>
  <c r="J18" i="32"/>
  <c r="F18" i="32"/>
  <c r="N17" i="32"/>
  <c r="J17" i="32"/>
  <c r="F17" i="32"/>
  <c r="N16" i="32"/>
  <c r="J16" i="32"/>
  <c r="F16" i="32"/>
  <c r="N15" i="32"/>
  <c r="J15" i="32"/>
  <c r="F15" i="32"/>
  <c r="N14" i="32"/>
  <c r="J14" i="32"/>
  <c r="F14" i="32"/>
  <c r="N13" i="32"/>
  <c r="J13" i="32"/>
  <c r="F13" i="32"/>
  <c r="N12" i="32"/>
  <c r="J12" i="32"/>
  <c r="F12" i="32"/>
  <c r="N11" i="32"/>
  <c r="J11" i="32"/>
  <c r="F11" i="32"/>
  <c r="N10" i="32"/>
  <c r="J10" i="32"/>
  <c r="F10" i="32"/>
  <c r="N9" i="32"/>
  <c r="J9" i="32"/>
  <c r="F9" i="32"/>
  <c r="N8" i="32"/>
  <c r="J8" i="32"/>
  <c r="F8" i="32"/>
  <c r="N7" i="32"/>
  <c r="J7" i="32"/>
  <c r="F7" i="32"/>
  <c r="N6" i="32"/>
  <c r="J6" i="32"/>
  <c r="F6" i="32"/>
  <c r="N5" i="32"/>
  <c r="J5" i="32"/>
  <c r="F5" i="32"/>
  <c r="F20" i="32"/>
  <c r="M32" i="31"/>
  <c r="L32" i="31"/>
  <c r="K32" i="31"/>
  <c r="I32" i="31"/>
  <c r="H32" i="31"/>
  <c r="Q26" i="31" s="1"/>
  <c r="G32" i="31"/>
  <c r="E32" i="31"/>
  <c r="D32" i="31"/>
  <c r="C32" i="31"/>
  <c r="N31" i="31"/>
  <c r="J31" i="31"/>
  <c r="F31" i="31"/>
  <c r="N30" i="31"/>
  <c r="J30" i="31"/>
  <c r="F30" i="31"/>
  <c r="N29" i="31"/>
  <c r="J29" i="31"/>
  <c r="F29" i="31"/>
  <c r="N28" i="31"/>
  <c r="J28" i="31"/>
  <c r="F28" i="31"/>
  <c r="N27" i="31"/>
  <c r="J27" i="31"/>
  <c r="F27" i="31"/>
  <c r="N26" i="31"/>
  <c r="J26" i="31"/>
  <c r="F26" i="31"/>
  <c r="F32" i="31"/>
  <c r="M20" i="31"/>
  <c r="L20" i="31"/>
  <c r="K20" i="31"/>
  <c r="I20" i="31"/>
  <c r="H20" i="31"/>
  <c r="Q7" i="31" s="1"/>
  <c r="G20" i="31"/>
  <c r="E20" i="31"/>
  <c r="D20" i="31"/>
  <c r="C20" i="31"/>
  <c r="N19" i="31"/>
  <c r="J19" i="31"/>
  <c r="F19" i="31"/>
  <c r="N18" i="31"/>
  <c r="J18" i="31"/>
  <c r="F18" i="31"/>
  <c r="N17" i="31"/>
  <c r="J17" i="31"/>
  <c r="F17" i="31"/>
  <c r="N16" i="31"/>
  <c r="J16" i="31"/>
  <c r="F16" i="31"/>
  <c r="N15" i="31"/>
  <c r="J15" i="31"/>
  <c r="F15" i="31"/>
  <c r="N14" i="31"/>
  <c r="J14" i="31"/>
  <c r="F14" i="31"/>
  <c r="N13" i="31"/>
  <c r="J13" i="31"/>
  <c r="F13" i="31"/>
  <c r="N12" i="31"/>
  <c r="J12" i="31"/>
  <c r="F12" i="31"/>
  <c r="N11" i="31"/>
  <c r="J11" i="31"/>
  <c r="F11" i="31"/>
  <c r="N10" i="31"/>
  <c r="J10" i="31"/>
  <c r="F10" i="31"/>
  <c r="N9" i="31"/>
  <c r="J9" i="31"/>
  <c r="F9" i="31"/>
  <c r="N8" i="31"/>
  <c r="N20" i="31" s="1"/>
  <c r="J8" i="31"/>
  <c r="F8" i="31"/>
  <c r="N7" i="31"/>
  <c r="J7" i="31"/>
  <c r="F7" i="31"/>
  <c r="N6" i="31"/>
  <c r="J6" i="31"/>
  <c r="F6" i="31"/>
  <c r="F20" i="31"/>
  <c r="N5" i="31"/>
  <c r="J5" i="31"/>
  <c r="F5" i="31"/>
  <c r="M32" i="30"/>
  <c r="L32" i="30"/>
  <c r="K32" i="30"/>
  <c r="I32" i="30"/>
  <c r="H32" i="30"/>
  <c r="G32" i="30"/>
  <c r="E32" i="30"/>
  <c r="D32" i="30"/>
  <c r="C32" i="30"/>
  <c r="N31" i="30"/>
  <c r="J31" i="30"/>
  <c r="F31" i="30"/>
  <c r="N30" i="30"/>
  <c r="J30" i="30"/>
  <c r="F30" i="30"/>
  <c r="N29" i="30"/>
  <c r="J29" i="30"/>
  <c r="F29" i="30"/>
  <c r="N28" i="30"/>
  <c r="J28" i="30"/>
  <c r="F28" i="30"/>
  <c r="N27" i="30"/>
  <c r="J27" i="30"/>
  <c r="F27" i="30"/>
  <c r="N26" i="30"/>
  <c r="J26" i="30"/>
  <c r="F26" i="30"/>
  <c r="M20" i="30"/>
  <c r="L20" i="30"/>
  <c r="K20" i="30"/>
  <c r="I20" i="30"/>
  <c r="H20" i="30"/>
  <c r="G20" i="30"/>
  <c r="E20" i="30"/>
  <c r="D20" i="30"/>
  <c r="C20" i="30"/>
  <c r="N19" i="30"/>
  <c r="J19" i="30"/>
  <c r="F19" i="30"/>
  <c r="N18" i="30"/>
  <c r="J18" i="30"/>
  <c r="F18" i="30"/>
  <c r="N17" i="30"/>
  <c r="J17" i="30"/>
  <c r="F17" i="30"/>
  <c r="N16" i="30"/>
  <c r="J16" i="30"/>
  <c r="F16" i="30"/>
  <c r="N15" i="30"/>
  <c r="J15" i="30"/>
  <c r="F15" i="30"/>
  <c r="N14" i="30"/>
  <c r="J14" i="30"/>
  <c r="F14" i="30"/>
  <c r="N13" i="30"/>
  <c r="J13" i="30"/>
  <c r="F13" i="30"/>
  <c r="N12" i="30"/>
  <c r="J12" i="30"/>
  <c r="F12" i="30"/>
  <c r="N11" i="30"/>
  <c r="J11" i="30"/>
  <c r="F11" i="30"/>
  <c r="N10" i="30"/>
  <c r="J10" i="30"/>
  <c r="F10" i="30"/>
  <c r="N9" i="30"/>
  <c r="J9" i="30"/>
  <c r="F9" i="30"/>
  <c r="N8" i="30"/>
  <c r="J8" i="30"/>
  <c r="F8" i="30"/>
  <c r="N7" i="30"/>
  <c r="J7" i="30"/>
  <c r="F7" i="30"/>
  <c r="N6" i="30"/>
  <c r="J6" i="30"/>
  <c r="F6" i="30"/>
  <c r="F20" i="30"/>
  <c r="N5" i="30"/>
  <c r="J5" i="30"/>
  <c r="F5" i="30"/>
  <c r="M32" i="29"/>
  <c r="L32" i="29"/>
  <c r="K32" i="29"/>
  <c r="I32" i="29"/>
  <c r="Q27" i="29"/>
  <c r="H32" i="29"/>
  <c r="Q26" i="29"/>
  <c r="G32" i="29"/>
  <c r="E32" i="29"/>
  <c r="D32" i="29"/>
  <c r="C32" i="29"/>
  <c r="N31" i="29"/>
  <c r="J31" i="29"/>
  <c r="F31" i="29"/>
  <c r="N30" i="29"/>
  <c r="J30" i="29"/>
  <c r="F30" i="29"/>
  <c r="N29" i="29"/>
  <c r="J29" i="29"/>
  <c r="F29" i="29"/>
  <c r="N28" i="29"/>
  <c r="J28" i="29"/>
  <c r="F28" i="29"/>
  <c r="N27" i="29"/>
  <c r="J27" i="29"/>
  <c r="F27" i="29"/>
  <c r="N26" i="29"/>
  <c r="N32" i="29" s="1"/>
  <c r="J26" i="29"/>
  <c r="J32" i="29" s="1"/>
  <c r="F26" i="29"/>
  <c r="F32" i="29" s="1"/>
  <c r="Q24" i="29" s="1"/>
  <c r="M20" i="29"/>
  <c r="L20" i="29"/>
  <c r="K20" i="29"/>
  <c r="I20" i="29"/>
  <c r="H20" i="29"/>
  <c r="Q7" i="29"/>
  <c r="G20" i="29"/>
  <c r="E20" i="29"/>
  <c r="Q8" i="29" s="1"/>
  <c r="D20" i="29"/>
  <c r="C20" i="29"/>
  <c r="N19" i="29"/>
  <c r="J19" i="29"/>
  <c r="F19" i="29"/>
  <c r="N18" i="29"/>
  <c r="J18" i="29"/>
  <c r="F18" i="29"/>
  <c r="N17" i="29"/>
  <c r="J17" i="29"/>
  <c r="F17" i="29"/>
  <c r="N16" i="29"/>
  <c r="J16" i="29"/>
  <c r="F16" i="29"/>
  <c r="N15" i="29"/>
  <c r="J15" i="29"/>
  <c r="F15" i="29"/>
  <c r="N14" i="29"/>
  <c r="J14" i="29"/>
  <c r="F14" i="29"/>
  <c r="N13" i="29"/>
  <c r="J13" i="29"/>
  <c r="F13" i="29"/>
  <c r="N12" i="29"/>
  <c r="J12" i="29"/>
  <c r="F12" i="29"/>
  <c r="N11" i="29"/>
  <c r="J11" i="29"/>
  <c r="F11" i="29"/>
  <c r="N10" i="29"/>
  <c r="J10" i="29"/>
  <c r="F10" i="29"/>
  <c r="N9" i="29"/>
  <c r="J9" i="29"/>
  <c r="F9" i="29"/>
  <c r="N8" i="29"/>
  <c r="J8" i="29"/>
  <c r="F8" i="29"/>
  <c r="N7" i="29"/>
  <c r="J7" i="29"/>
  <c r="J20" i="29" s="1"/>
  <c r="F7" i="29"/>
  <c r="N6" i="29"/>
  <c r="J6" i="29"/>
  <c r="F6" i="29"/>
  <c r="N5" i="29"/>
  <c r="N20" i="29" s="1"/>
  <c r="J5" i="29"/>
  <c r="F5" i="29"/>
  <c r="F20" i="29" s="1"/>
  <c r="M32" i="28"/>
  <c r="L32" i="28"/>
  <c r="K32" i="28"/>
  <c r="J32" i="28"/>
  <c r="I32" i="28"/>
  <c r="H32" i="28"/>
  <c r="G32" i="28"/>
  <c r="E32" i="28"/>
  <c r="D32" i="28"/>
  <c r="C32" i="28"/>
  <c r="Q25" i="28"/>
  <c r="Q28" i="28"/>
  <c r="N31" i="28"/>
  <c r="J31" i="28"/>
  <c r="F31" i="28"/>
  <c r="N30" i="28"/>
  <c r="J30" i="28"/>
  <c r="F30" i="28"/>
  <c r="N29" i="28"/>
  <c r="J29" i="28"/>
  <c r="F29" i="28"/>
  <c r="N28" i="28"/>
  <c r="J28" i="28"/>
  <c r="F28" i="28"/>
  <c r="Q27" i="28"/>
  <c r="N27" i="28"/>
  <c r="J27" i="28"/>
  <c r="F27" i="28"/>
  <c r="Q26" i="28"/>
  <c r="N26" i="28"/>
  <c r="N32" i="28"/>
  <c r="J26" i="28"/>
  <c r="F26" i="28"/>
  <c r="F32" i="28"/>
  <c r="Q24" i="28"/>
  <c r="M20" i="28"/>
  <c r="L20" i="28"/>
  <c r="K20" i="28"/>
  <c r="I20" i="28"/>
  <c r="Q8" i="28"/>
  <c r="H20" i="28"/>
  <c r="Q7" i="28"/>
  <c r="G20" i="28"/>
  <c r="E20" i="28"/>
  <c r="D20" i="28"/>
  <c r="C20" i="28"/>
  <c r="N19" i="28"/>
  <c r="J19" i="28"/>
  <c r="F19" i="28"/>
  <c r="N18" i="28"/>
  <c r="J18" i="28"/>
  <c r="F18" i="28"/>
  <c r="N17" i="28"/>
  <c r="J17" i="28"/>
  <c r="F17" i="28"/>
  <c r="N16" i="28"/>
  <c r="J16" i="28"/>
  <c r="F16" i="28"/>
  <c r="N15" i="28"/>
  <c r="J15" i="28"/>
  <c r="F15" i="28"/>
  <c r="N14" i="28"/>
  <c r="J14" i="28"/>
  <c r="F14" i="28"/>
  <c r="N13" i="28"/>
  <c r="J13" i="28"/>
  <c r="F13" i="28"/>
  <c r="F20" i="28"/>
  <c r="N12" i="28"/>
  <c r="J12" i="28"/>
  <c r="F12" i="28"/>
  <c r="N11" i="28"/>
  <c r="J11" i="28"/>
  <c r="F11" i="28"/>
  <c r="N10" i="28"/>
  <c r="J10" i="28"/>
  <c r="F10" i="28"/>
  <c r="N9" i="28"/>
  <c r="J9" i="28"/>
  <c r="F9" i="28"/>
  <c r="N8" i="28"/>
  <c r="J8" i="28"/>
  <c r="F8" i="28"/>
  <c r="N7" i="28"/>
  <c r="J7" i="28"/>
  <c r="F7" i="28"/>
  <c r="N6" i="28"/>
  <c r="J6" i="28"/>
  <c r="F6" i="28"/>
  <c r="N5" i="28"/>
  <c r="J5" i="28"/>
  <c r="F5" i="28"/>
  <c r="M32" i="27"/>
  <c r="L32" i="27"/>
  <c r="Q26" i="27"/>
  <c r="K32" i="27"/>
  <c r="I32" i="27"/>
  <c r="H32" i="27"/>
  <c r="G32" i="27"/>
  <c r="E32" i="27"/>
  <c r="D32" i="27"/>
  <c r="C32" i="27"/>
  <c r="N31" i="27"/>
  <c r="J31" i="27"/>
  <c r="F31" i="27"/>
  <c r="N30" i="27"/>
  <c r="J30" i="27"/>
  <c r="F30" i="27"/>
  <c r="N29" i="27"/>
  <c r="J29" i="27"/>
  <c r="F29" i="27"/>
  <c r="N28" i="27"/>
  <c r="J28" i="27"/>
  <c r="F28" i="27"/>
  <c r="N27" i="27"/>
  <c r="J27" i="27"/>
  <c r="F27" i="27"/>
  <c r="N26" i="27"/>
  <c r="J26" i="27"/>
  <c r="F26" i="27"/>
  <c r="F32" i="27"/>
  <c r="M20" i="27"/>
  <c r="L20" i="27"/>
  <c r="K20" i="27"/>
  <c r="I20" i="27"/>
  <c r="H20" i="27"/>
  <c r="G20" i="27"/>
  <c r="E20" i="27"/>
  <c r="D20" i="27"/>
  <c r="C20" i="27"/>
  <c r="N19" i="27"/>
  <c r="J19" i="27"/>
  <c r="F19" i="27"/>
  <c r="N18" i="27"/>
  <c r="J18" i="27"/>
  <c r="F18" i="27"/>
  <c r="N17" i="27"/>
  <c r="J17" i="27"/>
  <c r="F17" i="27"/>
  <c r="N16" i="27"/>
  <c r="J16" i="27"/>
  <c r="F16" i="27"/>
  <c r="N15" i="27"/>
  <c r="J15" i="27"/>
  <c r="F15" i="27"/>
  <c r="N14" i="27"/>
  <c r="J14" i="27"/>
  <c r="F14" i="27"/>
  <c r="N13" i="27"/>
  <c r="J13" i="27"/>
  <c r="F13" i="27"/>
  <c r="N12" i="27"/>
  <c r="J12" i="27"/>
  <c r="F12" i="27"/>
  <c r="N11" i="27"/>
  <c r="J11" i="27"/>
  <c r="F11" i="27"/>
  <c r="N10" i="27"/>
  <c r="J10" i="27"/>
  <c r="F10" i="27"/>
  <c r="N9" i="27"/>
  <c r="J9" i="27"/>
  <c r="F9" i="27"/>
  <c r="N8" i="27"/>
  <c r="J8" i="27"/>
  <c r="F8" i="27"/>
  <c r="N7" i="27"/>
  <c r="J7" i="27"/>
  <c r="F7" i="27"/>
  <c r="N6" i="27"/>
  <c r="J6" i="27"/>
  <c r="F6" i="27"/>
  <c r="N5" i="27"/>
  <c r="J5" i="27"/>
  <c r="F5" i="27"/>
  <c r="M32" i="26"/>
  <c r="L32" i="26"/>
  <c r="K32" i="26"/>
  <c r="I32" i="26"/>
  <c r="Q27" i="26" s="1"/>
  <c r="H32" i="26"/>
  <c r="Q26" i="26" s="1"/>
  <c r="Q28" i="26" s="1"/>
  <c r="G32" i="26"/>
  <c r="E32" i="26"/>
  <c r="D32" i="26"/>
  <c r="C32" i="26"/>
  <c r="Q25" i="26"/>
  <c r="N31" i="26"/>
  <c r="J31" i="26"/>
  <c r="F31" i="26"/>
  <c r="N30" i="26"/>
  <c r="J30" i="26"/>
  <c r="F30" i="26"/>
  <c r="N29" i="26"/>
  <c r="J29" i="26"/>
  <c r="F29" i="26"/>
  <c r="N28" i="26"/>
  <c r="J28" i="26"/>
  <c r="F28" i="26"/>
  <c r="N27" i="26"/>
  <c r="J27" i="26"/>
  <c r="F27" i="26"/>
  <c r="N26" i="26"/>
  <c r="N32" i="26"/>
  <c r="J26" i="26"/>
  <c r="J32" i="26" s="1"/>
  <c r="Q24" i="26" s="1"/>
  <c r="F26" i="26"/>
  <c r="F32" i="26"/>
  <c r="M20" i="26"/>
  <c r="L20" i="26"/>
  <c r="K20" i="26"/>
  <c r="I20" i="26"/>
  <c r="H20" i="26"/>
  <c r="Q7" i="26" s="1"/>
  <c r="G20" i="26"/>
  <c r="E20" i="26"/>
  <c r="D20" i="26"/>
  <c r="C20" i="26"/>
  <c r="N19" i="26"/>
  <c r="J19" i="26"/>
  <c r="F19" i="26"/>
  <c r="N18" i="26"/>
  <c r="J18" i="26"/>
  <c r="F18" i="26"/>
  <c r="N17" i="26"/>
  <c r="J17" i="26"/>
  <c r="F17" i="26"/>
  <c r="N16" i="26"/>
  <c r="J16" i="26"/>
  <c r="F16" i="26"/>
  <c r="N15" i="26"/>
  <c r="J15" i="26"/>
  <c r="F15" i="26"/>
  <c r="N14" i="26"/>
  <c r="J14" i="26"/>
  <c r="F14" i="26"/>
  <c r="N13" i="26"/>
  <c r="J13" i="26"/>
  <c r="F13" i="26"/>
  <c r="F20" i="26"/>
  <c r="N12" i="26"/>
  <c r="J12" i="26"/>
  <c r="F12" i="26"/>
  <c r="N11" i="26"/>
  <c r="J11" i="26"/>
  <c r="F11" i="26"/>
  <c r="N10" i="26"/>
  <c r="J10" i="26"/>
  <c r="F10" i="26"/>
  <c r="N9" i="26"/>
  <c r="J9" i="26"/>
  <c r="F9" i="26"/>
  <c r="N8" i="26"/>
  <c r="J8" i="26"/>
  <c r="F8" i="26"/>
  <c r="N7" i="26"/>
  <c r="J7" i="26"/>
  <c r="F7" i="26"/>
  <c r="N6" i="26"/>
  <c r="J6" i="26"/>
  <c r="F6" i="26"/>
  <c r="N5" i="26"/>
  <c r="J5" i="26"/>
  <c r="F5" i="26"/>
  <c r="M32" i="25"/>
  <c r="L32" i="25"/>
  <c r="K32" i="25"/>
  <c r="I32" i="25"/>
  <c r="Q27" i="25" s="1"/>
  <c r="H32" i="25"/>
  <c r="G32" i="25"/>
  <c r="E32" i="25"/>
  <c r="D32" i="25"/>
  <c r="C32" i="25"/>
  <c r="N31" i="25"/>
  <c r="J31" i="25"/>
  <c r="F31" i="25"/>
  <c r="N30" i="25"/>
  <c r="J30" i="25"/>
  <c r="F30" i="25"/>
  <c r="N29" i="25"/>
  <c r="J29" i="25"/>
  <c r="F29" i="25"/>
  <c r="N28" i="25"/>
  <c r="J28" i="25"/>
  <c r="F28" i="25"/>
  <c r="N27" i="25"/>
  <c r="J27" i="25"/>
  <c r="F27" i="25"/>
  <c r="N26" i="25"/>
  <c r="J26" i="25"/>
  <c r="F26" i="25"/>
  <c r="F32" i="25"/>
  <c r="M20" i="25"/>
  <c r="L20" i="25"/>
  <c r="K20" i="25"/>
  <c r="I20" i="25"/>
  <c r="H20" i="25"/>
  <c r="Q7" i="25" s="1"/>
  <c r="G20" i="25"/>
  <c r="E20" i="25"/>
  <c r="D20" i="25"/>
  <c r="C20" i="25"/>
  <c r="N19" i="25"/>
  <c r="J19" i="25"/>
  <c r="F19" i="25"/>
  <c r="N18" i="25"/>
  <c r="J18" i="25"/>
  <c r="F18" i="25"/>
  <c r="N17" i="25"/>
  <c r="J17" i="25"/>
  <c r="F17" i="25"/>
  <c r="N16" i="25"/>
  <c r="J16" i="25"/>
  <c r="F16" i="25"/>
  <c r="N15" i="25"/>
  <c r="J15" i="25"/>
  <c r="F15" i="25"/>
  <c r="N14" i="25"/>
  <c r="J14" i="25"/>
  <c r="F14" i="25"/>
  <c r="N13" i="25"/>
  <c r="J13" i="25"/>
  <c r="F13" i="25"/>
  <c r="N12" i="25"/>
  <c r="J12" i="25"/>
  <c r="F12" i="25"/>
  <c r="N11" i="25"/>
  <c r="J11" i="25"/>
  <c r="F11" i="25"/>
  <c r="N10" i="25"/>
  <c r="J10" i="25"/>
  <c r="F10" i="25"/>
  <c r="N9" i="25"/>
  <c r="J9" i="25"/>
  <c r="F9" i="25"/>
  <c r="N8" i="25"/>
  <c r="J8" i="25"/>
  <c r="F8" i="25"/>
  <c r="N7" i="25"/>
  <c r="J7" i="25"/>
  <c r="F7" i="25"/>
  <c r="N6" i="25"/>
  <c r="J6" i="25"/>
  <c r="F6" i="25"/>
  <c r="N5" i="25"/>
  <c r="J5" i="25"/>
  <c r="F5" i="25"/>
  <c r="F20" i="25"/>
  <c r="M32" i="24"/>
  <c r="L32" i="24"/>
  <c r="K32" i="24"/>
  <c r="I32" i="24"/>
  <c r="Q27" i="24"/>
  <c r="H32" i="24"/>
  <c r="Q26" i="24"/>
  <c r="G32" i="24"/>
  <c r="E32" i="24"/>
  <c r="D32" i="24"/>
  <c r="C32" i="24"/>
  <c r="Q25" i="24"/>
  <c r="N31" i="24"/>
  <c r="J31" i="24"/>
  <c r="F31" i="24"/>
  <c r="N30" i="24"/>
  <c r="J30" i="24"/>
  <c r="F30" i="24"/>
  <c r="N29" i="24"/>
  <c r="J29" i="24"/>
  <c r="F29" i="24"/>
  <c r="N28" i="24"/>
  <c r="J28" i="24"/>
  <c r="F28" i="24"/>
  <c r="N27" i="24"/>
  <c r="J27" i="24"/>
  <c r="F27" i="24"/>
  <c r="N26" i="24"/>
  <c r="N32" i="24"/>
  <c r="J26" i="24"/>
  <c r="J32" i="24"/>
  <c r="F26" i="24"/>
  <c r="F32" i="24"/>
  <c r="M20" i="24"/>
  <c r="L20" i="24"/>
  <c r="K20" i="24"/>
  <c r="I20" i="24"/>
  <c r="H20" i="24"/>
  <c r="G20" i="24"/>
  <c r="E20" i="24"/>
  <c r="D20" i="24"/>
  <c r="C20" i="24"/>
  <c r="N19" i="24"/>
  <c r="J19" i="24"/>
  <c r="F19" i="24"/>
  <c r="N18" i="24"/>
  <c r="J18" i="24"/>
  <c r="F18" i="24"/>
  <c r="N17" i="24"/>
  <c r="J17" i="24"/>
  <c r="F17" i="24"/>
  <c r="N16" i="24"/>
  <c r="J16" i="24"/>
  <c r="F16" i="24"/>
  <c r="N15" i="24"/>
  <c r="J15" i="24"/>
  <c r="F15" i="24"/>
  <c r="N14" i="24"/>
  <c r="J14" i="24"/>
  <c r="F14" i="24"/>
  <c r="N13" i="24"/>
  <c r="J13" i="24"/>
  <c r="F13" i="24"/>
  <c r="N12" i="24"/>
  <c r="J12" i="24"/>
  <c r="F12" i="24"/>
  <c r="N11" i="24"/>
  <c r="J11" i="24"/>
  <c r="F11" i="24"/>
  <c r="N10" i="24"/>
  <c r="J10" i="24"/>
  <c r="F10" i="24"/>
  <c r="N9" i="24"/>
  <c r="J9" i="24"/>
  <c r="F9" i="24"/>
  <c r="N8" i="24"/>
  <c r="J8" i="24"/>
  <c r="F8" i="24"/>
  <c r="N7" i="24"/>
  <c r="J7" i="24"/>
  <c r="F7" i="24"/>
  <c r="N6" i="24"/>
  <c r="J6" i="24"/>
  <c r="F6" i="24"/>
  <c r="F20" i="24"/>
  <c r="N5" i="24"/>
  <c r="J5" i="24"/>
  <c r="F5" i="24"/>
  <c r="M32" i="23"/>
  <c r="L32" i="23"/>
  <c r="K32" i="23"/>
  <c r="I32" i="23"/>
  <c r="H32" i="23"/>
  <c r="G32" i="23"/>
  <c r="E32" i="23"/>
  <c r="D32" i="23"/>
  <c r="C32" i="23"/>
  <c r="N31" i="23"/>
  <c r="J31" i="23"/>
  <c r="F31" i="23"/>
  <c r="N30" i="23"/>
  <c r="J30" i="23"/>
  <c r="F30" i="23"/>
  <c r="N29" i="23"/>
  <c r="J29" i="23"/>
  <c r="F29" i="23"/>
  <c r="N28" i="23"/>
  <c r="J28" i="23"/>
  <c r="F28" i="23"/>
  <c r="Q27" i="23"/>
  <c r="N27" i="23"/>
  <c r="J27" i="23"/>
  <c r="F27" i="23"/>
  <c r="N26" i="23"/>
  <c r="N32" i="23"/>
  <c r="J26" i="23"/>
  <c r="J32" i="23"/>
  <c r="F26" i="23"/>
  <c r="F32" i="23"/>
  <c r="M20" i="23"/>
  <c r="L20" i="23"/>
  <c r="K20" i="23"/>
  <c r="I20" i="23"/>
  <c r="Q8" i="23"/>
  <c r="H20" i="23"/>
  <c r="Q7" i="23"/>
  <c r="G20" i="23"/>
  <c r="E20" i="23"/>
  <c r="D20" i="23"/>
  <c r="C20" i="23"/>
  <c r="N19" i="23"/>
  <c r="J19" i="23"/>
  <c r="F19" i="23"/>
  <c r="N18" i="23"/>
  <c r="J18" i="23"/>
  <c r="F18" i="23"/>
  <c r="N17" i="23"/>
  <c r="J17" i="23"/>
  <c r="F17" i="23"/>
  <c r="N16" i="23"/>
  <c r="J16" i="23"/>
  <c r="F16" i="23"/>
  <c r="N15" i="23"/>
  <c r="J15" i="23"/>
  <c r="F15" i="23"/>
  <c r="N14" i="23"/>
  <c r="J14" i="23"/>
  <c r="F14" i="23"/>
  <c r="N13" i="23"/>
  <c r="J13" i="23"/>
  <c r="F13" i="23"/>
  <c r="F20" i="23"/>
  <c r="N12" i="23"/>
  <c r="J12" i="23"/>
  <c r="F12" i="23"/>
  <c r="N11" i="23"/>
  <c r="J11" i="23"/>
  <c r="F11" i="23"/>
  <c r="N10" i="23"/>
  <c r="J10" i="23"/>
  <c r="F10" i="23"/>
  <c r="N9" i="23"/>
  <c r="J9" i="23"/>
  <c r="F9" i="23"/>
  <c r="N8" i="23"/>
  <c r="J8" i="23"/>
  <c r="F8" i="23"/>
  <c r="N7" i="23"/>
  <c r="J7" i="23"/>
  <c r="F7" i="23"/>
  <c r="N6" i="23"/>
  <c r="J6" i="23"/>
  <c r="F6" i="23"/>
  <c r="N5" i="23"/>
  <c r="J5" i="23"/>
  <c r="F5" i="23"/>
  <c r="M32" i="22"/>
  <c r="L32" i="22"/>
  <c r="K32" i="22"/>
  <c r="I32" i="22"/>
  <c r="Q27" i="22"/>
  <c r="H32" i="22"/>
  <c r="Q26" i="22"/>
  <c r="G32" i="22"/>
  <c r="E32" i="22"/>
  <c r="D32" i="22"/>
  <c r="C32" i="22"/>
  <c r="N31" i="22"/>
  <c r="J31" i="22"/>
  <c r="F31" i="22"/>
  <c r="N30" i="22"/>
  <c r="J30" i="22"/>
  <c r="F30" i="22"/>
  <c r="N29" i="22"/>
  <c r="J29" i="22"/>
  <c r="F29" i="22"/>
  <c r="N28" i="22"/>
  <c r="J28" i="22"/>
  <c r="F28" i="22"/>
  <c r="N27" i="22"/>
  <c r="J27" i="22"/>
  <c r="F27" i="22"/>
  <c r="N26" i="22"/>
  <c r="N32" i="22"/>
  <c r="J26" i="22"/>
  <c r="J32" i="22"/>
  <c r="F26" i="22"/>
  <c r="F32" i="22"/>
  <c r="M20" i="22"/>
  <c r="L20" i="22"/>
  <c r="K20" i="22"/>
  <c r="I20" i="22"/>
  <c r="H20" i="22"/>
  <c r="G20" i="22"/>
  <c r="E20" i="22"/>
  <c r="D20" i="22"/>
  <c r="C20" i="22"/>
  <c r="N19" i="22"/>
  <c r="J19" i="22"/>
  <c r="F19" i="22"/>
  <c r="N18" i="22"/>
  <c r="J18" i="22"/>
  <c r="F18" i="22"/>
  <c r="N17" i="22"/>
  <c r="J17" i="22"/>
  <c r="F17" i="22"/>
  <c r="N16" i="22"/>
  <c r="J16" i="22"/>
  <c r="F16" i="22"/>
  <c r="N15" i="22"/>
  <c r="J15" i="22"/>
  <c r="F15" i="22"/>
  <c r="N14" i="22"/>
  <c r="J14" i="22"/>
  <c r="F14" i="22"/>
  <c r="N13" i="22"/>
  <c r="J13" i="22"/>
  <c r="F13" i="22"/>
  <c r="N12" i="22"/>
  <c r="J12" i="22"/>
  <c r="F12" i="22"/>
  <c r="N11" i="22"/>
  <c r="J11" i="22"/>
  <c r="F11" i="22"/>
  <c r="N10" i="22"/>
  <c r="J10" i="22"/>
  <c r="F10" i="22"/>
  <c r="N9" i="22"/>
  <c r="J9" i="22"/>
  <c r="F9" i="22"/>
  <c r="N8" i="22"/>
  <c r="J8" i="22"/>
  <c r="F8" i="22"/>
  <c r="N7" i="22"/>
  <c r="J7" i="22"/>
  <c r="F7" i="22"/>
  <c r="N6" i="22"/>
  <c r="J6" i="22"/>
  <c r="F6" i="22"/>
  <c r="F20" i="22"/>
  <c r="N5" i="22"/>
  <c r="J5" i="22"/>
  <c r="F5" i="22"/>
  <c r="M32" i="21"/>
  <c r="L32" i="21"/>
  <c r="K32" i="21"/>
  <c r="I32" i="21"/>
  <c r="H32" i="21"/>
  <c r="G32" i="21"/>
  <c r="E32" i="21"/>
  <c r="D32" i="21"/>
  <c r="C32" i="21"/>
  <c r="N31" i="21"/>
  <c r="J31" i="21"/>
  <c r="F31" i="21"/>
  <c r="N30" i="21"/>
  <c r="J30" i="21"/>
  <c r="F30" i="21"/>
  <c r="N29" i="21"/>
  <c r="J29" i="21"/>
  <c r="F29" i="21"/>
  <c r="N28" i="21"/>
  <c r="J28" i="21"/>
  <c r="F28" i="21"/>
  <c r="N27" i="21"/>
  <c r="J27" i="21"/>
  <c r="F27" i="21"/>
  <c r="N26" i="21"/>
  <c r="N32" i="21"/>
  <c r="J26" i="21"/>
  <c r="J32" i="21"/>
  <c r="F26" i="21"/>
  <c r="F32" i="21"/>
  <c r="M20" i="21"/>
  <c r="L20" i="21"/>
  <c r="K20" i="21"/>
  <c r="I20" i="21"/>
  <c r="H20" i="21"/>
  <c r="G20" i="21"/>
  <c r="E20" i="21"/>
  <c r="D20" i="21"/>
  <c r="C20" i="21"/>
  <c r="N19" i="21"/>
  <c r="J19" i="21"/>
  <c r="F19" i="21"/>
  <c r="N18" i="21"/>
  <c r="J18" i="21"/>
  <c r="F18" i="21"/>
  <c r="N17" i="21"/>
  <c r="J17" i="21"/>
  <c r="F17" i="21"/>
  <c r="N16" i="21"/>
  <c r="J16" i="21"/>
  <c r="F16" i="21"/>
  <c r="N15" i="21"/>
  <c r="J15" i="21"/>
  <c r="F15" i="21"/>
  <c r="N14" i="21"/>
  <c r="J14" i="21"/>
  <c r="F14" i="21"/>
  <c r="N13" i="21"/>
  <c r="J13" i="21"/>
  <c r="F13" i="21"/>
  <c r="N12" i="21"/>
  <c r="J12" i="21"/>
  <c r="F12" i="21"/>
  <c r="N11" i="21"/>
  <c r="J11" i="21"/>
  <c r="F11" i="21"/>
  <c r="N10" i="21"/>
  <c r="J10" i="21"/>
  <c r="F10" i="21"/>
  <c r="N9" i="21"/>
  <c r="J9" i="21"/>
  <c r="F9" i="21"/>
  <c r="N8" i="21"/>
  <c r="J8" i="21"/>
  <c r="F8" i="21"/>
  <c r="N7" i="21"/>
  <c r="J7" i="21"/>
  <c r="F7" i="21"/>
  <c r="N6" i="21"/>
  <c r="J6" i="21"/>
  <c r="F6" i="21"/>
  <c r="F20" i="21"/>
  <c r="N5" i="21"/>
  <c r="J5" i="21"/>
  <c r="F5" i="21"/>
  <c r="M32" i="20"/>
  <c r="L32" i="20"/>
  <c r="K32" i="20"/>
  <c r="I32" i="20"/>
  <c r="Q27" i="20"/>
  <c r="H32" i="20"/>
  <c r="Q26" i="20"/>
  <c r="G32" i="20"/>
  <c r="E32" i="20"/>
  <c r="D32" i="20"/>
  <c r="C32" i="20"/>
  <c r="N31" i="20"/>
  <c r="J31" i="20"/>
  <c r="F31" i="20"/>
  <c r="N30" i="20"/>
  <c r="J30" i="20"/>
  <c r="F30" i="20"/>
  <c r="N29" i="20"/>
  <c r="J29" i="20"/>
  <c r="F29" i="20"/>
  <c r="N28" i="20"/>
  <c r="J28" i="20"/>
  <c r="F28" i="20"/>
  <c r="N27" i="20"/>
  <c r="J27" i="20"/>
  <c r="F27" i="20"/>
  <c r="N26" i="20"/>
  <c r="N32" i="20"/>
  <c r="J26" i="20"/>
  <c r="F26" i="20"/>
  <c r="F32" i="20"/>
  <c r="M20" i="20"/>
  <c r="L20" i="20"/>
  <c r="Q7" i="20"/>
  <c r="K20" i="20"/>
  <c r="I20" i="20"/>
  <c r="H20" i="20"/>
  <c r="G20" i="20"/>
  <c r="E20" i="20"/>
  <c r="D20" i="20"/>
  <c r="C20" i="20"/>
  <c r="N19" i="20"/>
  <c r="J19" i="20"/>
  <c r="F19" i="20"/>
  <c r="N18" i="20"/>
  <c r="J18" i="20"/>
  <c r="F18" i="20"/>
  <c r="N17" i="20"/>
  <c r="J17" i="20"/>
  <c r="F17" i="20"/>
  <c r="N16" i="20"/>
  <c r="J16" i="20"/>
  <c r="F16" i="20"/>
  <c r="N15" i="20"/>
  <c r="J15" i="20"/>
  <c r="F15" i="20"/>
  <c r="N14" i="20"/>
  <c r="J14" i="20"/>
  <c r="F14" i="20"/>
  <c r="N13" i="20"/>
  <c r="J13" i="20"/>
  <c r="F13" i="20"/>
  <c r="N12" i="20"/>
  <c r="J12" i="20"/>
  <c r="F12" i="20"/>
  <c r="N11" i="20"/>
  <c r="J11" i="20"/>
  <c r="F11" i="20"/>
  <c r="N10" i="20"/>
  <c r="J10" i="20"/>
  <c r="F10" i="20"/>
  <c r="N9" i="20"/>
  <c r="J9" i="20"/>
  <c r="F9" i="20"/>
  <c r="N8" i="20"/>
  <c r="J8" i="20"/>
  <c r="F8" i="20"/>
  <c r="N7" i="20"/>
  <c r="J7" i="20"/>
  <c r="F7" i="20"/>
  <c r="N6" i="20"/>
  <c r="J6" i="20"/>
  <c r="F6" i="20"/>
  <c r="F20" i="20"/>
  <c r="N5" i="20"/>
  <c r="J5" i="20"/>
  <c r="F5" i="20"/>
  <c r="M32" i="19"/>
  <c r="L32" i="19"/>
  <c r="K32" i="19"/>
  <c r="I32" i="19"/>
  <c r="Q27" i="19"/>
  <c r="H32" i="19"/>
  <c r="G32" i="19"/>
  <c r="E32" i="19"/>
  <c r="D32" i="19"/>
  <c r="C32" i="19"/>
  <c r="N31" i="19"/>
  <c r="J31" i="19"/>
  <c r="F31" i="19"/>
  <c r="N30" i="19"/>
  <c r="J30" i="19"/>
  <c r="F30" i="19"/>
  <c r="N29" i="19"/>
  <c r="J29" i="19"/>
  <c r="F29" i="19"/>
  <c r="N28" i="19"/>
  <c r="J28" i="19"/>
  <c r="F28" i="19"/>
  <c r="N27" i="19"/>
  <c r="J27" i="19"/>
  <c r="F27" i="19"/>
  <c r="N26" i="19"/>
  <c r="J26" i="19"/>
  <c r="F26" i="19"/>
  <c r="F32" i="19"/>
  <c r="M20" i="19"/>
  <c r="L20" i="19"/>
  <c r="K20" i="19"/>
  <c r="I20" i="19"/>
  <c r="H20" i="19"/>
  <c r="G20" i="19"/>
  <c r="E20" i="19"/>
  <c r="D20" i="19"/>
  <c r="C20" i="19"/>
  <c r="N19" i="19"/>
  <c r="J19" i="19"/>
  <c r="F19" i="19"/>
  <c r="N18" i="19"/>
  <c r="J18" i="19"/>
  <c r="F18" i="19"/>
  <c r="N17" i="19"/>
  <c r="J17" i="19"/>
  <c r="F17" i="19"/>
  <c r="N16" i="19"/>
  <c r="J16" i="19"/>
  <c r="F16" i="19"/>
  <c r="N15" i="19"/>
  <c r="J15" i="19"/>
  <c r="F15" i="19"/>
  <c r="N14" i="19"/>
  <c r="J14" i="19"/>
  <c r="F14" i="19"/>
  <c r="N13" i="19"/>
  <c r="J13" i="19"/>
  <c r="F13" i="19"/>
  <c r="N12" i="19"/>
  <c r="J12" i="19"/>
  <c r="F12" i="19"/>
  <c r="N11" i="19"/>
  <c r="J11" i="19"/>
  <c r="F11" i="19"/>
  <c r="N10" i="19"/>
  <c r="J10" i="19"/>
  <c r="F10" i="19"/>
  <c r="N9" i="19"/>
  <c r="J9" i="19"/>
  <c r="F9" i="19"/>
  <c r="N8" i="19"/>
  <c r="J8" i="19"/>
  <c r="F8" i="19"/>
  <c r="N7" i="19"/>
  <c r="J7" i="19"/>
  <c r="F7" i="19"/>
  <c r="N6" i="19"/>
  <c r="J6" i="19"/>
  <c r="F6" i="19"/>
  <c r="N5" i="19"/>
  <c r="J5" i="19"/>
  <c r="F5" i="19"/>
  <c r="M32" i="18"/>
  <c r="L32" i="18"/>
  <c r="K32" i="18"/>
  <c r="I32" i="18"/>
  <c r="H32" i="18"/>
  <c r="G32" i="18"/>
  <c r="E32" i="18"/>
  <c r="D32" i="18"/>
  <c r="C32" i="18"/>
  <c r="N31" i="18"/>
  <c r="J31" i="18"/>
  <c r="F31" i="18"/>
  <c r="N30" i="18"/>
  <c r="J30" i="18"/>
  <c r="F30" i="18"/>
  <c r="N29" i="18"/>
  <c r="J29" i="18"/>
  <c r="F29" i="18"/>
  <c r="N28" i="18"/>
  <c r="J28" i="18"/>
  <c r="F28" i="18"/>
  <c r="N27" i="18"/>
  <c r="J27" i="18"/>
  <c r="F27" i="18"/>
  <c r="N26" i="18"/>
  <c r="N32" i="18"/>
  <c r="J26" i="18"/>
  <c r="J32" i="18"/>
  <c r="F26" i="18"/>
  <c r="F32" i="18"/>
  <c r="M20" i="18"/>
  <c r="L20" i="18"/>
  <c r="K20" i="18"/>
  <c r="I20" i="18"/>
  <c r="H20" i="18"/>
  <c r="G20" i="18"/>
  <c r="E20" i="18"/>
  <c r="D20" i="18"/>
  <c r="C20" i="18"/>
  <c r="N19" i="18"/>
  <c r="J19" i="18"/>
  <c r="F19" i="18"/>
  <c r="N18" i="18"/>
  <c r="J18" i="18"/>
  <c r="F18" i="18"/>
  <c r="N17" i="18"/>
  <c r="J17" i="18"/>
  <c r="F17" i="18"/>
  <c r="N16" i="18"/>
  <c r="J16" i="18"/>
  <c r="F16" i="18"/>
  <c r="N15" i="18"/>
  <c r="J15" i="18"/>
  <c r="F15" i="18"/>
  <c r="N14" i="18"/>
  <c r="J14" i="18"/>
  <c r="F14" i="18"/>
  <c r="N13" i="18"/>
  <c r="J13" i="18"/>
  <c r="F13" i="18"/>
  <c r="N12" i="18"/>
  <c r="J12" i="18"/>
  <c r="F12" i="18"/>
  <c r="N11" i="18"/>
  <c r="J11" i="18"/>
  <c r="F11" i="18"/>
  <c r="N10" i="18"/>
  <c r="J10" i="18"/>
  <c r="F10" i="18"/>
  <c r="N9" i="18"/>
  <c r="J9" i="18"/>
  <c r="F9" i="18"/>
  <c r="N8" i="18"/>
  <c r="J8" i="18"/>
  <c r="F8" i="18"/>
  <c r="N7" i="18"/>
  <c r="J7" i="18"/>
  <c r="F7" i="18"/>
  <c r="N6" i="18"/>
  <c r="J6" i="18"/>
  <c r="F6" i="18"/>
  <c r="F20" i="18"/>
  <c r="N5" i="18"/>
  <c r="J5" i="18"/>
  <c r="F5" i="18"/>
  <c r="M32" i="17"/>
  <c r="L32" i="17"/>
  <c r="Q26" i="17"/>
  <c r="K32" i="17"/>
  <c r="I32" i="17"/>
  <c r="H32" i="17"/>
  <c r="G32" i="17"/>
  <c r="E32" i="17"/>
  <c r="D32" i="17"/>
  <c r="C32" i="17"/>
  <c r="N31" i="17"/>
  <c r="J31" i="17"/>
  <c r="F31" i="17"/>
  <c r="N30" i="17"/>
  <c r="J30" i="17"/>
  <c r="F30" i="17"/>
  <c r="N29" i="17"/>
  <c r="J29" i="17"/>
  <c r="F29" i="17"/>
  <c r="N28" i="17"/>
  <c r="N32" i="17" s="1"/>
  <c r="J28" i="17"/>
  <c r="F28" i="17"/>
  <c r="N27" i="17"/>
  <c r="J27" i="17"/>
  <c r="F27" i="17"/>
  <c r="N26" i="17"/>
  <c r="J26" i="17"/>
  <c r="F26" i="17"/>
  <c r="M20" i="17"/>
  <c r="L20" i="17"/>
  <c r="K20" i="17"/>
  <c r="I20" i="17"/>
  <c r="H20" i="17"/>
  <c r="G20" i="17"/>
  <c r="Q6" i="17" s="1"/>
  <c r="Q9" i="17" s="1"/>
  <c r="E20" i="17"/>
  <c r="Q8" i="17" s="1"/>
  <c r="D20" i="17"/>
  <c r="C20" i="17"/>
  <c r="N19" i="17"/>
  <c r="J19" i="17"/>
  <c r="F19" i="17"/>
  <c r="N18" i="17"/>
  <c r="J18" i="17"/>
  <c r="F18" i="17"/>
  <c r="N17" i="17"/>
  <c r="J17" i="17"/>
  <c r="F17" i="17"/>
  <c r="N16" i="17"/>
  <c r="J16" i="17"/>
  <c r="F16" i="17"/>
  <c r="N15" i="17"/>
  <c r="J15" i="17"/>
  <c r="F15" i="17"/>
  <c r="N14" i="17"/>
  <c r="J14" i="17"/>
  <c r="F14" i="17"/>
  <c r="N13" i="17"/>
  <c r="J13" i="17"/>
  <c r="F13" i="17"/>
  <c r="N12" i="17"/>
  <c r="J12" i="17"/>
  <c r="F12" i="17"/>
  <c r="N11" i="17"/>
  <c r="J11" i="17"/>
  <c r="F11" i="17"/>
  <c r="N10" i="17"/>
  <c r="J10" i="17"/>
  <c r="F10" i="17"/>
  <c r="N9" i="17"/>
  <c r="J9" i="17"/>
  <c r="F9" i="17"/>
  <c r="N8" i="17"/>
  <c r="J8" i="17"/>
  <c r="F8" i="17"/>
  <c r="N7" i="17"/>
  <c r="J7" i="17"/>
  <c r="J20" i="17" s="1"/>
  <c r="F7" i="17"/>
  <c r="N6" i="17"/>
  <c r="J6" i="17"/>
  <c r="F6" i="17"/>
  <c r="N5" i="17"/>
  <c r="N20" i="17" s="1"/>
  <c r="J5" i="17"/>
  <c r="F5" i="17"/>
  <c r="F20" i="17" s="1"/>
  <c r="M32" i="16"/>
  <c r="L32" i="16"/>
  <c r="Q26" i="16"/>
  <c r="K32" i="16"/>
  <c r="I32" i="16"/>
  <c r="H32" i="16"/>
  <c r="G32" i="16"/>
  <c r="E32" i="16"/>
  <c r="D32" i="16"/>
  <c r="C32" i="16"/>
  <c r="N31" i="16"/>
  <c r="J31" i="16"/>
  <c r="F31" i="16"/>
  <c r="N30" i="16"/>
  <c r="J30" i="16"/>
  <c r="F30" i="16"/>
  <c r="N29" i="16"/>
  <c r="J29" i="16"/>
  <c r="F29" i="16"/>
  <c r="N28" i="16"/>
  <c r="J28" i="16"/>
  <c r="F28" i="16"/>
  <c r="N27" i="16"/>
  <c r="J27" i="16"/>
  <c r="F27" i="16"/>
  <c r="N26" i="16"/>
  <c r="N32" i="16"/>
  <c r="J26" i="16"/>
  <c r="J32" i="16"/>
  <c r="F26" i="16"/>
  <c r="F32" i="16"/>
  <c r="M20" i="16"/>
  <c r="L20" i="16"/>
  <c r="K20" i="16"/>
  <c r="I20" i="16"/>
  <c r="H20" i="16"/>
  <c r="Q7" i="16"/>
  <c r="G20" i="16"/>
  <c r="E20" i="16"/>
  <c r="D20" i="16"/>
  <c r="C20" i="16"/>
  <c r="N19" i="16"/>
  <c r="J19" i="16"/>
  <c r="F19" i="16"/>
  <c r="N18" i="16"/>
  <c r="J18" i="16"/>
  <c r="F18" i="16"/>
  <c r="N17" i="16"/>
  <c r="J17" i="16"/>
  <c r="F17" i="16"/>
  <c r="N16" i="16"/>
  <c r="J16" i="16"/>
  <c r="F16" i="16"/>
  <c r="N15" i="16"/>
  <c r="J15" i="16"/>
  <c r="F15" i="16"/>
  <c r="N14" i="16"/>
  <c r="J14" i="16"/>
  <c r="F14" i="16"/>
  <c r="N13" i="16"/>
  <c r="J13" i="16"/>
  <c r="F13" i="16"/>
  <c r="N12" i="16"/>
  <c r="J12" i="16"/>
  <c r="F12" i="16"/>
  <c r="N11" i="16"/>
  <c r="J11" i="16"/>
  <c r="F11" i="16"/>
  <c r="N10" i="16"/>
  <c r="J10" i="16"/>
  <c r="F10" i="16"/>
  <c r="N9" i="16"/>
  <c r="J9" i="16"/>
  <c r="F9" i="16"/>
  <c r="N8" i="16"/>
  <c r="J8" i="16"/>
  <c r="F8" i="16"/>
  <c r="N7" i="16"/>
  <c r="J7" i="16"/>
  <c r="F7" i="16"/>
  <c r="N6" i="16"/>
  <c r="J6" i="16"/>
  <c r="F6" i="16"/>
  <c r="F20" i="16"/>
  <c r="N5" i="16"/>
  <c r="J5" i="16"/>
  <c r="F5" i="16"/>
  <c r="M32" i="15"/>
  <c r="L32" i="15"/>
  <c r="K32" i="15"/>
  <c r="I32" i="15"/>
  <c r="H32" i="15"/>
  <c r="G32" i="15"/>
  <c r="E32" i="15"/>
  <c r="D32" i="15"/>
  <c r="C32" i="15"/>
  <c r="N31" i="15"/>
  <c r="J31" i="15"/>
  <c r="F31" i="15"/>
  <c r="N30" i="15"/>
  <c r="J30" i="15"/>
  <c r="F30" i="15"/>
  <c r="N29" i="15"/>
  <c r="J29" i="15"/>
  <c r="F29" i="15"/>
  <c r="N28" i="15"/>
  <c r="J28" i="15"/>
  <c r="F28" i="15"/>
  <c r="N27" i="15"/>
  <c r="J27" i="15"/>
  <c r="F27" i="15"/>
  <c r="Q26" i="15"/>
  <c r="N26" i="15"/>
  <c r="J26" i="15"/>
  <c r="F26" i="15"/>
  <c r="F32" i="15"/>
  <c r="M20" i="15"/>
  <c r="L20" i="15"/>
  <c r="K20" i="15"/>
  <c r="I20" i="15"/>
  <c r="H20" i="15"/>
  <c r="Q7" i="15"/>
  <c r="G20" i="15"/>
  <c r="E20" i="15"/>
  <c r="D20" i="15"/>
  <c r="C20" i="15"/>
  <c r="N19" i="15"/>
  <c r="J19" i="15"/>
  <c r="F19" i="15"/>
  <c r="N18" i="15"/>
  <c r="J18" i="15"/>
  <c r="F18" i="15"/>
  <c r="N17" i="15"/>
  <c r="J17" i="15"/>
  <c r="F17" i="15"/>
  <c r="N16" i="15"/>
  <c r="J16" i="15"/>
  <c r="F16" i="15"/>
  <c r="N15" i="15"/>
  <c r="J15" i="15"/>
  <c r="F15" i="15"/>
  <c r="N14" i="15"/>
  <c r="J14" i="15"/>
  <c r="F14" i="15"/>
  <c r="N13" i="15"/>
  <c r="J13" i="15"/>
  <c r="F13" i="15"/>
  <c r="N12" i="15"/>
  <c r="J12" i="15"/>
  <c r="F12" i="15"/>
  <c r="N11" i="15"/>
  <c r="J11" i="15"/>
  <c r="F11" i="15"/>
  <c r="N10" i="15"/>
  <c r="J10" i="15"/>
  <c r="F10" i="15"/>
  <c r="N9" i="15"/>
  <c r="J9" i="15"/>
  <c r="F9" i="15"/>
  <c r="N8" i="15"/>
  <c r="J8" i="15"/>
  <c r="F8" i="15"/>
  <c r="N7" i="15"/>
  <c r="J7" i="15"/>
  <c r="F7" i="15"/>
  <c r="N6" i="15"/>
  <c r="J6" i="15"/>
  <c r="F6" i="15"/>
  <c r="F20" i="15"/>
  <c r="N5" i="15"/>
  <c r="J5" i="15"/>
  <c r="F5" i="15"/>
  <c r="M32" i="14"/>
  <c r="L32" i="14"/>
  <c r="K32" i="14"/>
  <c r="I32" i="14"/>
  <c r="Q27" i="14"/>
  <c r="H32" i="14"/>
  <c r="Q26" i="14"/>
  <c r="G32" i="14"/>
  <c r="E32" i="14"/>
  <c r="D32" i="14"/>
  <c r="C32" i="14"/>
  <c r="N31" i="14"/>
  <c r="J31" i="14"/>
  <c r="F31" i="14"/>
  <c r="N30" i="14"/>
  <c r="J30" i="14"/>
  <c r="F30" i="14"/>
  <c r="N29" i="14"/>
  <c r="J29" i="14"/>
  <c r="F29" i="14"/>
  <c r="N28" i="14"/>
  <c r="J28" i="14"/>
  <c r="F28" i="14"/>
  <c r="N27" i="14"/>
  <c r="J27" i="14"/>
  <c r="F27" i="14"/>
  <c r="N26" i="14"/>
  <c r="N32" i="14"/>
  <c r="J26" i="14"/>
  <c r="F26" i="14"/>
  <c r="F32" i="14"/>
  <c r="M20" i="14"/>
  <c r="L20" i="14"/>
  <c r="K20" i="14"/>
  <c r="I20" i="14"/>
  <c r="H20" i="14"/>
  <c r="Q7" i="14"/>
  <c r="G20" i="14"/>
  <c r="E20" i="14"/>
  <c r="D20" i="14"/>
  <c r="C20" i="14"/>
  <c r="N19" i="14"/>
  <c r="J19" i="14"/>
  <c r="F19" i="14"/>
  <c r="N18" i="14"/>
  <c r="J18" i="14"/>
  <c r="F18" i="14"/>
  <c r="N17" i="14"/>
  <c r="J17" i="14"/>
  <c r="F17" i="14"/>
  <c r="N16" i="14"/>
  <c r="J16" i="14"/>
  <c r="F16" i="14"/>
  <c r="N15" i="14"/>
  <c r="J15" i="14"/>
  <c r="F15" i="14"/>
  <c r="N14" i="14"/>
  <c r="J14" i="14"/>
  <c r="F14" i="14"/>
  <c r="N13" i="14"/>
  <c r="J13" i="14"/>
  <c r="F13" i="14"/>
  <c r="N12" i="14"/>
  <c r="J12" i="14"/>
  <c r="F12" i="14"/>
  <c r="N11" i="14"/>
  <c r="J11" i="14"/>
  <c r="F11" i="14"/>
  <c r="N10" i="14"/>
  <c r="J10" i="14"/>
  <c r="F10" i="14"/>
  <c r="N9" i="14"/>
  <c r="J9" i="14"/>
  <c r="F9" i="14"/>
  <c r="N8" i="14"/>
  <c r="J8" i="14"/>
  <c r="F8" i="14"/>
  <c r="N7" i="14"/>
  <c r="J7" i="14"/>
  <c r="F7" i="14"/>
  <c r="N6" i="14"/>
  <c r="J6" i="14"/>
  <c r="F6" i="14"/>
  <c r="N5" i="14"/>
  <c r="J5" i="14"/>
  <c r="F5" i="14"/>
  <c r="Q8" i="37"/>
  <c r="N20" i="37"/>
  <c r="Q26" i="37"/>
  <c r="Q25" i="37"/>
  <c r="Q28" i="37"/>
  <c r="J20" i="37"/>
  <c r="Q7" i="37"/>
  <c r="Q6" i="37"/>
  <c r="F20" i="37"/>
  <c r="Q25" i="34"/>
  <c r="Q28" i="34" s="1"/>
  <c r="Q7" i="34"/>
  <c r="Q27" i="34"/>
  <c r="Q8" i="34"/>
  <c r="Q7" i="27"/>
  <c r="N32" i="27"/>
  <c r="Q6" i="27"/>
  <c r="Q9" i="27"/>
  <c r="N20" i="27"/>
  <c r="Q27" i="27"/>
  <c r="J32" i="27"/>
  <c r="Q24" i="27"/>
  <c r="Q25" i="27"/>
  <c r="Q28" i="27"/>
  <c r="J20" i="27"/>
  <c r="Q8" i="27"/>
  <c r="F20" i="27"/>
  <c r="Q25" i="29"/>
  <c r="Q28" i="29" s="1"/>
  <c r="Q6" i="29"/>
  <c r="Q9" i="29" s="1"/>
  <c r="Q25" i="33"/>
  <c r="Q28" i="33"/>
  <c r="Q24" i="33"/>
  <c r="J20" i="33"/>
  <c r="Q8" i="33"/>
  <c r="Q7" i="33"/>
  <c r="Q9" i="33"/>
  <c r="F20" i="33"/>
  <c r="Q5" i="33"/>
  <c r="N32" i="32"/>
  <c r="Q6" i="32"/>
  <c r="N20" i="32"/>
  <c r="Q25" i="32"/>
  <c r="J32" i="32"/>
  <c r="Q24" i="32"/>
  <c r="Q26" i="32"/>
  <c r="Q28" i="32"/>
  <c r="Q9" i="32"/>
  <c r="J20" i="32"/>
  <c r="Q5" i="32"/>
  <c r="N20" i="28"/>
  <c r="J20" i="28"/>
  <c r="Q6" i="28"/>
  <c r="Q9" i="28"/>
  <c r="Q6" i="22"/>
  <c r="N20" i="22"/>
  <c r="Q25" i="22"/>
  <c r="Q24" i="22"/>
  <c r="J20" i="22"/>
  <c r="Q8" i="22"/>
  <c r="Q7" i="22"/>
  <c r="Q9" i="22"/>
  <c r="Q5" i="22"/>
  <c r="Q6" i="30"/>
  <c r="Q7" i="30"/>
  <c r="N20" i="30"/>
  <c r="Q26" i="30"/>
  <c r="F32" i="30"/>
  <c r="N32" i="30"/>
  <c r="Q27" i="30"/>
  <c r="J32" i="30"/>
  <c r="J20" i="30"/>
  <c r="Q25" i="30"/>
  <c r="Q8" i="30"/>
  <c r="Q9" i="30"/>
  <c r="Q6" i="23"/>
  <c r="N20" i="23"/>
  <c r="Q26" i="23"/>
  <c r="Q25" i="23"/>
  <c r="Q28" i="23"/>
  <c r="Q24" i="23"/>
  <c r="J20" i="23"/>
  <c r="Q5" i="23"/>
  <c r="Q9" i="23"/>
  <c r="Q27" i="18"/>
  <c r="Q6" i="18"/>
  <c r="N20" i="18"/>
  <c r="Q26" i="18"/>
  <c r="Q25" i="18"/>
  <c r="Q24" i="18"/>
  <c r="Q8" i="18"/>
  <c r="J20" i="18"/>
  <c r="Q5" i="18"/>
  <c r="Q7" i="18"/>
  <c r="Q6" i="24"/>
  <c r="N20" i="24"/>
  <c r="Q24" i="24"/>
  <c r="J20" i="24"/>
  <c r="Q8" i="24"/>
  <c r="Q7" i="24"/>
  <c r="Q9" i="24"/>
  <c r="N20" i="20"/>
  <c r="Q5" i="20"/>
  <c r="Q25" i="20"/>
  <c r="Q8" i="20"/>
  <c r="J32" i="20"/>
  <c r="Q6" i="20"/>
  <c r="Q9" i="20"/>
  <c r="J20" i="20"/>
  <c r="N32" i="15"/>
  <c r="Q27" i="15"/>
  <c r="N20" i="15"/>
  <c r="Q5" i="15"/>
  <c r="Q25" i="15"/>
  <c r="Q28" i="15"/>
  <c r="J32" i="15"/>
  <c r="Q24" i="15"/>
  <c r="J20" i="15"/>
  <c r="Q8" i="15"/>
  <c r="Q6" i="15"/>
  <c r="Q9" i="15"/>
  <c r="Q27" i="21"/>
  <c r="Q26" i="21"/>
  <c r="N20" i="21"/>
  <c r="Q25" i="21"/>
  <c r="Q24" i="21"/>
  <c r="Q8" i="21"/>
  <c r="Q7" i="21"/>
  <c r="J20" i="21"/>
  <c r="Q5" i="21"/>
  <c r="Q6" i="21"/>
  <c r="Q27" i="16"/>
  <c r="N20" i="16"/>
  <c r="J20" i="16"/>
  <c r="Q24" i="16"/>
  <c r="Q29" i="16"/>
  <c r="Q25" i="16"/>
  <c r="Q28" i="16"/>
  <c r="Q8" i="16"/>
  <c r="Q6" i="16"/>
  <c r="Q9" i="16"/>
  <c r="J32" i="35"/>
  <c r="Q8" i="35"/>
  <c r="Q7" i="35"/>
  <c r="Q6" i="35"/>
  <c r="Q26" i="35"/>
  <c r="F32" i="35"/>
  <c r="J20" i="35"/>
  <c r="N32" i="35"/>
  <c r="Q25" i="35"/>
  <c r="N20" i="35"/>
  <c r="F20" i="35"/>
  <c r="Q25" i="19"/>
  <c r="Q28" i="19"/>
  <c r="N32" i="19"/>
  <c r="Q24" i="19"/>
  <c r="Q29" i="19"/>
  <c r="N20" i="19"/>
  <c r="J32" i="19"/>
  <c r="Q26" i="19"/>
  <c r="Q8" i="19"/>
  <c r="Q7" i="19"/>
  <c r="J20" i="19"/>
  <c r="Q6" i="19"/>
  <c r="F20" i="19"/>
  <c r="Q7" i="17"/>
  <c r="Q25" i="14"/>
  <c r="N20" i="14"/>
  <c r="Q8" i="14"/>
  <c r="Q28" i="14"/>
  <c r="J32" i="14"/>
  <c r="Q24" i="14"/>
  <c r="Q29" i="14"/>
  <c r="J20" i="14"/>
  <c r="Q6" i="14"/>
  <c r="Q9" i="14"/>
  <c r="F20" i="14"/>
  <c r="Q24" i="37"/>
  <c r="Q29" i="33"/>
  <c r="Q29" i="28"/>
  <c r="Q5" i="24"/>
  <c r="Q28" i="24"/>
  <c r="Q29" i="24"/>
  <c r="Q28" i="22"/>
  <c r="Q29" i="22"/>
  <c r="Q28" i="21"/>
  <c r="Q24" i="20"/>
  <c r="Q28" i="20"/>
  <c r="Q29" i="20"/>
  <c r="Q5" i="37"/>
  <c r="Q9" i="37"/>
  <c r="Q29" i="27"/>
  <c r="Q5" i="27"/>
  <c r="Q10" i="27"/>
  <c r="Q10" i="33"/>
  <c r="Q10" i="32"/>
  <c r="Q5" i="28"/>
  <c r="Q10" i="28"/>
  <c r="Q10" i="22"/>
  <c r="Q24" i="30"/>
  <c r="Q5" i="30"/>
  <c r="Q10" i="30"/>
  <c r="Q28" i="30"/>
  <c r="Q29" i="30"/>
  <c r="Q29" i="23"/>
  <c r="Q10" i="23"/>
  <c r="Q9" i="18"/>
  <c r="Q10" i="18"/>
  <c r="Q28" i="18"/>
  <c r="Q29" i="18"/>
  <c r="Q10" i="24"/>
  <c r="Q10" i="20"/>
  <c r="Q29" i="15"/>
  <c r="Q10" i="15"/>
  <c r="Q9" i="21"/>
  <c r="Q29" i="21"/>
  <c r="Q10" i="21"/>
  <c r="Q5" i="16"/>
  <c r="Q10" i="16"/>
  <c r="Q28" i="35"/>
  <c r="Q9" i="35"/>
  <c r="Q5" i="35"/>
  <c r="Q24" i="35"/>
  <c r="Q29" i="35"/>
  <c r="Q9" i="19"/>
  <c r="Q5" i="19"/>
  <c r="Q5" i="14"/>
  <c r="Q10" i="14"/>
  <c r="Q29" i="37"/>
  <c r="Q29" i="32"/>
  <c r="Q10" i="37"/>
  <c r="Q10" i="35"/>
  <c r="Q10" i="19"/>
  <c r="I2" i="1"/>
  <c r="I7" i="1" s="1"/>
  <c r="I9" i="13" s="1"/>
  <c r="J2" i="1"/>
  <c r="J7" i="1" s="1"/>
  <c r="I10" i="13" s="1"/>
  <c r="K2" i="1"/>
  <c r="J10" i="1"/>
  <c r="J10" i="13" s="1"/>
  <c r="J21" i="1"/>
  <c r="J22" i="1" s="1"/>
  <c r="L10" i="13" s="1"/>
  <c r="J15" i="1"/>
  <c r="J16" i="1" s="1"/>
  <c r="K10" i="13" s="1"/>
  <c r="M32" i="11"/>
  <c r="L32" i="11"/>
  <c r="K32" i="11"/>
  <c r="I32" i="11"/>
  <c r="Q27" i="11"/>
  <c r="H32" i="11"/>
  <c r="Q26" i="11"/>
  <c r="G32" i="11"/>
  <c r="E32" i="11"/>
  <c r="D32" i="11"/>
  <c r="C32" i="11"/>
  <c r="N31" i="11"/>
  <c r="J31" i="11"/>
  <c r="F31" i="11"/>
  <c r="N30" i="11"/>
  <c r="J30" i="11"/>
  <c r="F30" i="11"/>
  <c r="N29" i="11"/>
  <c r="J29" i="11"/>
  <c r="F29" i="11"/>
  <c r="N28" i="11"/>
  <c r="J28" i="11"/>
  <c r="F28" i="11"/>
  <c r="N27" i="11"/>
  <c r="J27" i="11"/>
  <c r="F27" i="11"/>
  <c r="N26" i="11"/>
  <c r="J26" i="11"/>
  <c r="F26" i="11"/>
  <c r="F32" i="11"/>
  <c r="M20" i="11"/>
  <c r="L20" i="11"/>
  <c r="K20" i="11"/>
  <c r="I20" i="11"/>
  <c r="Q8" i="11"/>
  <c r="H20" i="11"/>
  <c r="G20" i="11"/>
  <c r="E20" i="11"/>
  <c r="D20" i="11"/>
  <c r="C20" i="11"/>
  <c r="N19" i="11"/>
  <c r="J19" i="11"/>
  <c r="F19" i="11"/>
  <c r="N18" i="11"/>
  <c r="J18" i="11"/>
  <c r="F18" i="11"/>
  <c r="N17" i="11"/>
  <c r="J17" i="11"/>
  <c r="F17" i="11"/>
  <c r="N16" i="11"/>
  <c r="J16" i="11"/>
  <c r="F16" i="11"/>
  <c r="N15" i="11"/>
  <c r="J15" i="11"/>
  <c r="F15" i="11"/>
  <c r="N14" i="11"/>
  <c r="J14" i="11"/>
  <c r="F14" i="11"/>
  <c r="N13" i="11"/>
  <c r="J13" i="11"/>
  <c r="F13" i="11"/>
  <c r="N12" i="11"/>
  <c r="J12" i="11"/>
  <c r="F12" i="11"/>
  <c r="N11" i="11"/>
  <c r="J11" i="11"/>
  <c r="F11" i="11"/>
  <c r="N10" i="11"/>
  <c r="J10" i="11"/>
  <c r="F10" i="11"/>
  <c r="N9" i="11"/>
  <c r="J9" i="11"/>
  <c r="F9" i="11"/>
  <c r="N8" i="11"/>
  <c r="J8" i="11"/>
  <c r="F8" i="11"/>
  <c r="N7" i="11"/>
  <c r="J7" i="11"/>
  <c r="F7" i="11"/>
  <c r="N6" i="11"/>
  <c r="J6" i="11"/>
  <c r="F6" i="11"/>
  <c r="N5" i="11"/>
  <c r="J5" i="11"/>
  <c r="F5" i="11"/>
  <c r="M32" i="10"/>
  <c r="L32" i="10"/>
  <c r="K32" i="10"/>
  <c r="J32" i="10"/>
  <c r="I32" i="10"/>
  <c r="Q27" i="10"/>
  <c r="H32" i="10"/>
  <c r="G32" i="10"/>
  <c r="E32" i="10"/>
  <c r="D32" i="10"/>
  <c r="C32" i="10"/>
  <c r="Q25" i="10"/>
  <c r="Q28" i="10"/>
  <c r="N31" i="10"/>
  <c r="J31" i="10"/>
  <c r="F31" i="10"/>
  <c r="N30" i="10"/>
  <c r="J30" i="10"/>
  <c r="F30" i="10"/>
  <c r="N29" i="10"/>
  <c r="J29" i="10"/>
  <c r="F29" i="10"/>
  <c r="N28" i="10"/>
  <c r="J28" i="10"/>
  <c r="F28" i="10"/>
  <c r="N27" i="10"/>
  <c r="J27" i="10"/>
  <c r="F27" i="10"/>
  <c r="Q26" i="10"/>
  <c r="N26" i="10"/>
  <c r="N32" i="10"/>
  <c r="J26" i="10"/>
  <c r="F26" i="10"/>
  <c r="F32" i="10"/>
  <c r="Q24" i="10"/>
  <c r="M20" i="10"/>
  <c r="L20" i="10"/>
  <c r="K20" i="10"/>
  <c r="I20" i="10"/>
  <c r="H20" i="10"/>
  <c r="G20" i="10"/>
  <c r="E20" i="10"/>
  <c r="D20" i="10"/>
  <c r="C20" i="10"/>
  <c r="N19" i="10"/>
  <c r="J19" i="10"/>
  <c r="F19" i="10"/>
  <c r="N18" i="10"/>
  <c r="J18" i="10"/>
  <c r="F18" i="10"/>
  <c r="N17" i="10"/>
  <c r="J17" i="10"/>
  <c r="F17" i="10"/>
  <c r="N16" i="10"/>
  <c r="J16" i="10"/>
  <c r="F16" i="10"/>
  <c r="N15" i="10"/>
  <c r="J15" i="10"/>
  <c r="F15" i="10"/>
  <c r="N14" i="10"/>
  <c r="J14" i="10"/>
  <c r="F14" i="10"/>
  <c r="N13" i="10"/>
  <c r="J13" i="10"/>
  <c r="F13" i="10"/>
  <c r="N12" i="10"/>
  <c r="J12" i="10"/>
  <c r="F12" i="10"/>
  <c r="N11" i="10"/>
  <c r="J11" i="10"/>
  <c r="F11" i="10"/>
  <c r="N10" i="10"/>
  <c r="J10" i="10"/>
  <c r="F10" i="10"/>
  <c r="N9" i="10"/>
  <c r="J9" i="10"/>
  <c r="F9" i="10"/>
  <c r="N8" i="10"/>
  <c r="J8" i="10"/>
  <c r="F8" i="10"/>
  <c r="N7" i="10"/>
  <c r="J7" i="10"/>
  <c r="F7" i="10"/>
  <c r="N6" i="10"/>
  <c r="J6" i="10"/>
  <c r="F6" i="10"/>
  <c r="N5" i="10"/>
  <c r="J5" i="10"/>
  <c r="F5" i="10"/>
  <c r="M32" i="9"/>
  <c r="L32" i="9"/>
  <c r="K32" i="9"/>
  <c r="J32" i="9"/>
  <c r="I32" i="9"/>
  <c r="H32" i="9"/>
  <c r="G32" i="9"/>
  <c r="F32" i="9"/>
  <c r="E32" i="9"/>
  <c r="D32" i="9"/>
  <c r="Q26" i="9"/>
  <c r="C32" i="9"/>
  <c r="Q25" i="9"/>
  <c r="Q28" i="9"/>
  <c r="N31" i="9"/>
  <c r="J31" i="9"/>
  <c r="F31" i="9"/>
  <c r="N30" i="9"/>
  <c r="J30" i="9"/>
  <c r="F30" i="9"/>
  <c r="N29" i="9"/>
  <c r="J29" i="9"/>
  <c r="F29" i="9"/>
  <c r="N28" i="9"/>
  <c r="J28" i="9"/>
  <c r="F28" i="9"/>
  <c r="Q27" i="9"/>
  <c r="N27" i="9"/>
  <c r="J27" i="9"/>
  <c r="F27" i="9"/>
  <c r="N26" i="9"/>
  <c r="N32" i="9"/>
  <c r="J26" i="9"/>
  <c r="F26" i="9"/>
  <c r="M20" i="9"/>
  <c r="L20" i="9"/>
  <c r="K20" i="9"/>
  <c r="I20" i="9"/>
  <c r="H20" i="9"/>
  <c r="G20" i="9"/>
  <c r="E20" i="9"/>
  <c r="D20" i="9"/>
  <c r="C20" i="9"/>
  <c r="N19" i="9"/>
  <c r="J19" i="9"/>
  <c r="F19" i="9"/>
  <c r="N18" i="9"/>
  <c r="J18" i="9"/>
  <c r="F18" i="9"/>
  <c r="N17" i="9"/>
  <c r="J17" i="9"/>
  <c r="F17" i="9"/>
  <c r="N16" i="9"/>
  <c r="J16" i="9"/>
  <c r="F16" i="9"/>
  <c r="N15" i="9"/>
  <c r="J15" i="9"/>
  <c r="F15" i="9"/>
  <c r="N14" i="9"/>
  <c r="J14" i="9"/>
  <c r="F14" i="9"/>
  <c r="N13" i="9"/>
  <c r="J13" i="9"/>
  <c r="F13" i="9"/>
  <c r="N12" i="9"/>
  <c r="J12" i="9"/>
  <c r="F12" i="9"/>
  <c r="N11" i="9"/>
  <c r="J11" i="9"/>
  <c r="F11" i="9"/>
  <c r="N10" i="9"/>
  <c r="J10" i="9"/>
  <c r="F10" i="9"/>
  <c r="N9" i="9"/>
  <c r="J9" i="9"/>
  <c r="F9" i="9"/>
  <c r="N8" i="9"/>
  <c r="J8" i="9"/>
  <c r="F8" i="9"/>
  <c r="N7" i="9"/>
  <c r="J7" i="9"/>
  <c r="F7" i="9"/>
  <c r="N6" i="9"/>
  <c r="N20" i="9"/>
  <c r="J6" i="9"/>
  <c r="F6" i="9"/>
  <c r="N5" i="9"/>
  <c r="J5" i="9"/>
  <c r="F5" i="9"/>
  <c r="H2" i="1"/>
  <c r="L15" i="1"/>
  <c r="L16" i="1" s="1"/>
  <c r="K12" i="13" s="1"/>
  <c r="N12" i="13" s="1"/>
  <c r="K15" i="1"/>
  <c r="K16" i="1" s="1"/>
  <c r="K11" i="13" s="1"/>
  <c r="N11" i="13" s="1"/>
  <c r="K10" i="1"/>
  <c r="J11" i="13"/>
  <c r="K6" i="1"/>
  <c r="K7" i="1" s="1"/>
  <c r="I11" i="13" s="1"/>
  <c r="H21" i="1"/>
  <c r="H22" i="1" s="1"/>
  <c r="L6" i="13" s="1"/>
  <c r="H15" i="1"/>
  <c r="H16" i="1" s="1"/>
  <c r="K6" i="13" s="1"/>
  <c r="H10" i="1"/>
  <c r="J6" i="13" s="1"/>
  <c r="H6" i="1"/>
  <c r="F9" i="6"/>
  <c r="G21" i="1"/>
  <c r="G22" i="1" s="1"/>
  <c r="L5" i="13" s="1"/>
  <c r="G15" i="1"/>
  <c r="G16" i="1" s="1"/>
  <c r="K5" i="13" s="1"/>
  <c r="G10" i="1"/>
  <c r="J5" i="13" s="1"/>
  <c r="G6" i="1"/>
  <c r="G7" i="1" s="1"/>
  <c r="I5" i="13" s="1"/>
  <c r="G2" i="1"/>
  <c r="M32" i="8"/>
  <c r="L32" i="8"/>
  <c r="K32" i="8"/>
  <c r="I32" i="8"/>
  <c r="Q27" i="8"/>
  <c r="H32" i="8"/>
  <c r="G32" i="8"/>
  <c r="E32" i="8"/>
  <c r="D32" i="8"/>
  <c r="C32" i="8"/>
  <c r="N31" i="8"/>
  <c r="J31" i="8"/>
  <c r="F31" i="8"/>
  <c r="N30" i="8"/>
  <c r="J30" i="8"/>
  <c r="F30" i="8"/>
  <c r="N29" i="8"/>
  <c r="J29" i="8"/>
  <c r="F29" i="8"/>
  <c r="N28" i="8"/>
  <c r="J28" i="8"/>
  <c r="F28" i="8"/>
  <c r="N27" i="8"/>
  <c r="J27" i="8"/>
  <c r="F27" i="8"/>
  <c r="N26" i="8"/>
  <c r="J26" i="8"/>
  <c r="F26" i="8"/>
  <c r="F32" i="8"/>
  <c r="M20" i="8"/>
  <c r="L20" i="8"/>
  <c r="K20" i="8"/>
  <c r="I20" i="8"/>
  <c r="H20" i="8"/>
  <c r="Q7" i="8"/>
  <c r="G20" i="8"/>
  <c r="E20" i="8"/>
  <c r="D20" i="8"/>
  <c r="C20" i="8"/>
  <c r="N19" i="8"/>
  <c r="J19" i="8"/>
  <c r="F19" i="8"/>
  <c r="N18" i="8"/>
  <c r="J18" i="8"/>
  <c r="F18" i="8"/>
  <c r="N17" i="8"/>
  <c r="J17" i="8"/>
  <c r="F17" i="8"/>
  <c r="N16" i="8"/>
  <c r="J16" i="8"/>
  <c r="F16" i="8"/>
  <c r="N15" i="8"/>
  <c r="J15" i="8"/>
  <c r="F15" i="8"/>
  <c r="N14" i="8"/>
  <c r="J14" i="8"/>
  <c r="F14" i="8"/>
  <c r="N13" i="8"/>
  <c r="J13" i="8"/>
  <c r="F13" i="8"/>
  <c r="N12" i="8"/>
  <c r="J12" i="8"/>
  <c r="F12" i="8"/>
  <c r="F20" i="8"/>
  <c r="N11" i="8"/>
  <c r="J11" i="8"/>
  <c r="F11" i="8"/>
  <c r="N10" i="8"/>
  <c r="J10" i="8"/>
  <c r="F10" i="8"/>
  <c r="N9" i="8"/>
  <c r="J9" i="8"/>
  <c r="F9" i="8"/>
  <c r="N8" i="8"/>
  <c r="J8" i="8"/>
  <c r="F8" i="8"/>
  <c r="N7" i="8"/>
  <c r="J7" i="8"/>
  <c r="F7" i="8"/>
  <c r="N6" i="8"/>
  <c r="J6" i="8"/>
  <c r="F6" i="8"/>
  <c r="N5" i="8"/>
  <c r="J5" i="8"/>
  <c r="F5" i="8"/>
  <c r="M32" i="7"/>
  <c r="L32" i="7"/>
  <c r="K32" i="7"/>
  <c r="I32" i="7"/>
  <c r="H32" i="7"/>
  <c r="Q26" i="7"/>
  <c r="Q28" i="7" s="1"/>
  <c r="G32" i="7"/>
  <c r="E32" i="7"/>
  <c r="Q27" i="7" s="1"/>
  <c r="D32" i="7"/>
  <c r="C32" i="7"/>
  <c r="N31" i="7"/>
  <c r="J31" i="7"/>
  <c r="F31" i="7"/>
  <c r="N30" i="7"/>
  <c r="J30" i="7"/>
  <c r="F30" i="7"/>
  <c r="N29" i="7"/>
  <c r="J29" i="7"/>
  <c r="F29" i="7"/>
  <c r="N28" i="7"/>
  <c r="J28" i="7"/>
  <c r="F28" i="7"/>
  <c r="N27" i="7"/>
  <c r="J27" i="7"/>
  <c r="J32" i="7" s="1"/>
  <c r="F27" i="7"/>
  <c r="N26" i="7"/>
  <c r="N32" i="7" s="1"/>
  <c r="J26" i="7"/>
  <c r="F26" i="7"/>
  <c r="M20" i="7"/>
  <c r="L20" i="7"/>
  <c r="K20" i="7"/>
  <c r="I20" i="7"/>
  <c r="H20" i="7"/>
  <c r="Q7" i="7" s="1"/>
  <c r="G20" i="7"/>
  <c r="Q6" i="7" s="1"/>
  <c r="Q9" i="7" s="1"/>
  <c r="E20" i="7"/>
  <c r="D20" i="7"/>
  <c r="C20" i="7"/>
  <c r="N19" i="7"/>
  <c r="J19" i="7"/>
  <c r="F19" i="7"/>
  <c r="N18" i="7"/>
  <c r="J18" i="7"/>
  <c r="F18" i="7"/>
  <c r="N17" i="7"/>
  <c r="J17" i="7"/>
  <c r="F17" i="7"/>
  <c r="N16" i="7"/>
  <c r="J16" i="7"/>
  <c r="F16" i="7"/>
  <c r="N15" i="7"/>
  <c r="J15" i="7"/>
  <c r="F15" i="7"/>
  <c r="N14" i="7"/>
  <c r="J14" i="7"/>
  <c r="F14" i="7"/>
  <c r="N13" i="7"/>
  <c r="J13" i="7"/>
  <c r="F13" i="7"/>
  <c r="N12" i="7"/>
  <c r="J12" i="7"/>
  <c r="F12" i="7"/>
  <c r="N11" i="7"/>
  <c r="J11" i="7"/>
  <c r="F11" i="7"/>
  <c r="N10" i="7"/>
  <c r="J10" i="7"/>
  <c r="J20" i="7" s="1"/>
  <c r="F10" i="7"/>
  <c r="N9" i="7"/>
  <c r="J9" i="7"/>
  <c r="F9" i="7"/>
  <c r="N8" i="7"/>
  <c r="J8" i="7"/>
  <c r="F8" i="7"/>
  <c r="N7" i="7"/>
  <c r="J7" i="7"/>
  <c r="F7" i="7"/>
  <c r="N6" i="7"/>
  <c r="J6" i="7"/>
  <c r="F6" i="7"/>
  <c r="N5" i="7"/>
  <c r="N20" i="7" s="1"/>
  <c r="J5" i="7"/>
  <c r="F5" i="7"/>
  <c r="F20" i="7" s="1"/>
  <c r="Q5" i="7" s="1"/>
  <c r="N27" i="6"/>
  <c r="N28" i="6"/>
  <c r="N29" i="6"/>
  <c r="N30" i="6"/>
  <c r="N31" i="6"/>
  <c r="J27" i="6"/>
  <c r="J28" i="6"/>
  <c r="J29" i="6"/>
  <c r="J30" i="6"/>
  <c r="J31" i="6"/>
  <c r="F27" i="6"/>
  <c r="F28" i="6"/>
  <c r="F29" i="6"/>
  <c r="F30" i="6"/>
  <c r="F31" i="6"/>
  <c r="F21" i="1"/>
  <c r="F22" i="1" s="1"/>
  <c r="L4" i="13" s="1"/>
  <c r="F15" i="1"/>
  <c r="F16" i="1" s="1"/>
  <c r="K4" i="13" s="1"/>
  <c r="M32" i="6"/>
  <c r="L32" i="6"/>
  <c r="K32" i="6"/>
  <c r="I32" i="6"/>
  <c r="H32" i="6"/>
  <c r="G32" i="6"/>
  <c r="E32" i="6"/>
  <c r="Q27" i="6"/>
  <c r="D32" i="6"/>
  <c r="C32" i="6"/>
  <c r="N26" i="6"/>
  <c r="J26" i="6"/>
  <c r="F26" i="6"/>
  <c r="M20" i="6"/>
  <c r="L20" i="6"/>
  <c r="K20" i="6"/>
  <c r="I20" i="6"/>
  <c r="H20" i="6"/>
  <c r="G20" i="6"/>
  <c r="E20" i="6"/>
  <c r="D20" i="6"/>
  <c r="C20" i="6"/>
  <c r="N19" i="6"/>
  <c r="J19" i="6"/>
  <c r="F19" i="6"/>
  <c r="N18" i="6"/>
  <c r="J18" i="6"/>
  <c r="F18" i="6"/>
  <c r="N17" i="6"/>
  <c r="J17" i="6"/>
  <c r="F17" i="6"/>
  <c r="N16" i="6"/>
  <c r="J16" i="6"/>
  <c r="F16" i="6"/>
  <c r="N15" i="6"/>
  <c r="J15" i="6"/>
  <c r="F15" i="6"/>
  <c r="N14" i="6"/>
  <c r="J14" i="6"/>
  <c r="F14" i="6"/>
  <c r="N13" i="6"/>
  <c r="J13" i="6"/>
  <c r="F13" i="6"/>
  <c r="N12" i="6"/>
  <c r="J12" i="6"/>
  <c r="F12" i="6"/>
  <c r="N11" i="6"/>
  <c r="J11" i="6"/>
  <c r="F11" i="6"/>
  <c r="N10" i="6"/>
  <c r="J10" i="6"/>
  <c r="F10" i="6"/>
  <c r="N9" i="6"/>
  <c r="J9" i="6"/>
  <c r="N8" i="6"/>
  <c r="J8" i="6"/>
  <c r="F8" i="6"/>
  <c r="N7" i="6"/>
  <c r="J7" i="6"/>
  <c r="F7" i="6"/>
  <c r="N6" i="6"/>
  <c r="J6" i="6"/>
  <c r="F6" i="6"/>
  <c r="N5" i="6"/>
  <c r="J5" i="6"/>
  <c r="F5" i="6"/>
  <c r="M20" i="5"/>
  <c r="L20" i="5"/>
  <c r="K20" i="5"/>
  <c r="I20" i="5"/>
  <c r="H20" i="5"/>
  <c r="G20" i="5"/>
  <c r="E20" i="5"/>
  <c r="D20" i="5"/>
  <c r="C20" i="5"/>
  <c r="N19" i="5"/>
  <c r="J19" i="5"/>
  <c r="F19" i="5"/>
  <c r="M32" i="5"/>
  <c r="L32" i="5"/>
  <c r="K32" i="5"/>
  <c r="I32" i="5"/>
  <c r="H32" i="5"/>
  <c r="G32" i="5"/>
  <c r="E32" i="5"/>
  <c r="D32" i="5"/>
  <c r="C32" i="5"/>
  <c r="N26" i="5"/>
  <c r="J26" i="5"/>
  <c r="F26" i="5"/>
  <c r="F32" i="5"/>
  <c r="N18" i="5"/>
  <c r="J18" i="5"/>
  <c r="F18" i="5"/>
  <c r="N17" i="5"/>
  <c r="J17" i="5"/>
  <c r="F17" i="5"/>
  <c r="N16" i="5"/>
  <c r="J16" i="5"/>
  <c r="F16" i="5"/>
  <c r="N15" i="5"/>
  <c r="J15" i="5"/>
  <c r="F15" i="5"/>
  <c r="N14" i="5"/>
  <c r="J14" i="5"/>
  <c r="F14" i="5"/>
  <c r="N13" i="5"/>
  <c r="J13" i="5"/>
  <c r="F13" i="5"/>
  <c r="N12" i="5"/>
  <c r="J12" i="5"/>
  <c r="F12" i="5"/>
  <c r="N11" i="5"/>
  <c r="J11" i="5"/>
  <c r="F11" i="5"/>
  <c r="N10" i="5"/>
  <c r="J10" i="5"/>
  <c r="F10" i="5"/>
  <c r="N9" i="5"/>
  <c r="J9" i="5"/>
  <c r="F9" i="5"/>
  <c r="N8" i="5"/>
  <c r="J8" i="5"/>
  <c r="F8" i="5"/>
  <c r="N7" i="5"/>
  <c r="J7" i="5"/>
  <c r="F7" i="5"/>
  <c r="N6" i="5"/>
  <c r="J6" i="5"/>
  <c r="F6" i="5"/>
  <c r="N5" i="5"/>
  <c r="J5" i="5"/>
  <c r="F5" i="5"/>
  <c r="F6" i="1"/>
  <c r="F2" i="1"/>
  <c r="F10" i="1"/>
  <c r="J4" i="13" s="1"/>
  <c r="D21" i="1"/>
  <c r="D22" i="1" s="1"/>
  <c r="N12" i="3"/>
  <c r="M12" i="3"/>
  <c r="F12" i="3"/>
  <c r="E12" i="3"/>
  <c r="D12" i="3"/>
  <c r="J12" i="3"/>
  <c r="I12" i="3"/>
  <c r="H12" i="3"/>
  <c r="O19" i="3"/>
  <c r="O18" i="3"/>
  <c r="K19" i="3"/>
  <c r="K18" i="3"/>
  <c r="G19" i="3"/>
  <c r="G18" i="3"/>
  <c r="O5" i="3"/>
  <c r="O6" i="3"/>
  <c r="O7" i="3"/>
  <c r="O8" i="3"/>
  <c r="O9" i="3"/>
  <c r="O10" i="3"/>
  <c r="O11" i="3"/>
  <c r="O4" i="3"/>
  <c r="K5" i="3"/>
  <c r="K6" i="3"/>
  <c r="K7" i="3"/>
  <c r="K8" i="3"/>
  <c r="K9" i="3"/>
  <c r="K10" i="3"/>
  <c r="K11" i="3"/>
  <c r="K4" i="3"/>
  <c r="G5" i="3"/>
  <c r="G6" i="3"/>
  <c r="G7" i="3"/>
  <c r="G8" i="3"/>
  <c r="G9" i="3"/>
  <c r="G10" i="3"/>
  <c r="G11" i="3"/>
  <c r="G4" i="3"/>
  <c r="N12" i="4"/>
  <c r="M12" i="4"/>
  <c r="L12" i="4"/>
  <c r="J12" i="4"/>
  <c r="I12" i="4"/>
  <c r="H12" i="4"/>
  <c r="G12" i="4"/>
  <c r="F12" i="4"/>
  <c r="E12" i="4"/>
  <c r="D12" i="4"/>
  <c r="K11" i="4"/>
  <c r="O11" i="4"/>
  <c r="G11" i="4"/>
  <c r="O10" i="4"/>
  <c r="K10" i="4"/>
  <c r="G10" i="4"/>
  <c r="O20" i="4"/>
  <c r="K20" i="4"/>
  <c r="G20" i="4"/>
  <c r="O19" i="4"/>
  <c r="K19" i="4"/>
  <c r="G19" i="4"/>
  <c r="G21" i="4"/>
  <c r="O18" i="4"/>
  <c r="K18" i="4"/>
  <c r="G18" i="4"/>
  <c r="O17" i="4"/>
  <c r="K17" i="4"/>
  <c r="G17" i="4"/>
  <c r="O9" i="4"/>
  <c r="K9" i="4"/>
  <c r="G9" i="4"/>
  <c r="O8" i="4"/>
  <c r="K8" i="4"/>
  <c r="G8" i="4"/>
  <c r="O7" i="4"/>
  <c r="K7" i="4"/>
  <c r="K12" i="4"/>
  <c r="G7" i="4"/>
  <c r="O6" i="4"/>
  <c r="K6" i="4"/>
  <c r="G6" i="4"/>
  <c r="O5" i="4"/>
  <c r="K5" i="4"/>
  <c r="G5" i="4"/>
  <c r="O4" i="4"/>
  <c r="K4" i="4"/>
  <c r="G4" i="4"/>
  <c r="O26" i="2"/>
  <c r="O27" i="2"/>
  <c r="O28" i="2"/>
  <c r="O29" i="2"/>
  <c r="O30" i="2"/>
  <c r="O25" i="2"/>
  <c r="K26" i="2"/>
  <c r="K27" i="2"/>
  <c r="K28" i="2"/>
  <c r="K29" i="2"/>
  <c r="K30" i="2"/>
  <c r="K25" i="2"/>
  <c r="G26" i="2"/>
  <c r="G27" i="2"/>
  <c r="G28" i="2"/>
  <c r="G29" i="2"/>
  <c r="G30" i="2"/>
  <c r="G25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C7" i="1"/>
  <c r="I2" i="13" s="1"/>
  <c r="N21" i="4"/>
  <c r="M21" i="4"/>
  <c r="L21" i="4"/>
  <c r="J21" i="4"/>
  <c r="I21" i="4"/>
  <c r="H21" i="4"/>
  <c r="F21" i="4"/>
  <c r="E21" i="4"/>
  <c r="D21" i="4"/>
  <c r="C15" i="1"/>
  <c r="C16" i="1" s="1"/>
  <c r="K2" i="13" s="1"/>
  <c r="L12" i="3"/>
  <c r="E31" i="2"/>
  <c r="F31" i="2"/>
  <c r="H31" i="2"/>
  <c r="I31" i="2"/>
  <c r="J31" i="2"/>
  <c r="L31" i="2"/>
  <c r="M31" i="2"/>
  <c r="N31" i="2"/>
  <c r="D31" i="2"/>
  <c r="E18" i="2"/>
  <c r="F18" i="2"/>
  <c r="H18" i="2"/>
  <c r="I18" i="2"/>
  <c r="J18" i="2"/>
  <c r="L18" i="2"/>
  <c r="M18" i="2"/>
  <c r="N18" i="2"/>
  <c r="D18" i="2"/>
  <c r="N32" i="11"/>
  <c r="N20" i="11"/>
  <c r="Q6" i="11"/>
  <c r="J32" i="11"/>
  <c r="Q7" i="11"/>
  <c r="Q25" i="11"/>
  <c r="J20" i="11"/>
  <c r="F20" i="11"/>
  <c r="N20" i="10"/>
  <c r="Q7" i="10"/>
  <c r="J20" i="10"/>
  <c r="Q8" i="10"/>
  <c r="Q6" i="10"/>
  <c r="F20" i="10"/>
  <c r="Q8" i="9"/>
  <c r="Q7" i="9"/>
  <c r="Q6" i="9"/>
  <c r="J20" i="9"/>
  <c r="F20" i="9"/>
  <c r="N32" i="8"/>
  <c r="N20" i="8"/>
  <c r="Q25" i="8"/>
  <c r="J32" i="8"/>
  <c r="Q24" i="8"/>
  <c r="Q8" i="8"/>
  <c r="Q26" i="8"/>
  <c r="J20" i="8"/>
  <c r="Q6" i="8"/>
  <c r="Q9" i="8"/>
  <c r="Q24" i="11"/>
  <c r="Q28" i="11"/>
  <c r="Q29" i="10"/>
  <c r="Q24" i="9"/>
  <c r="Q29" i="9"/>
  <c r="Q25" i="7"/>
  <c r="F32" i="7"/>
  <c r="Q8" i="7"/>
  <c r="Q25" i="6"/>
  <c r="N20" i="6"/>
  <c r="F32" i="6"/>
  <c r="N32" i="6"/>
  <c r="Q26" i="6"/>
  <c r="Q28" i="6"/>
  <c r="J32" i="6"/>
  <c r="Q6" i="6"/>
  <c r="Q8" i="6"/>
  <c r="Q7" i="6"/>
  <c r="J20" i="6"/>
  <c r="F20" i="6"/>
  <c r="N20" i="5"/>
  <c r="J20" i="5"/>
  <c r="F20" i="5"/>
  <c r="Q8" i="5"/>
  <c r="Q26" i="5"/>
  <c r="Q27" i="5"/>
  <c r="N32" i="5"/>
  <c r="J32" i="5"/>
  <c r="Q24" i="5"/>
  <c r="Q25" i="5"/>
  <c r="Q7" i="5"/>
  <c r="Q6" i="5"/>
  <c r="O12" i="4"/>
  <c r="R4" i="4"/>
  <c r="O21" i="4"/>
  <c r="K21" i="4"/>
  <c r="R17" i="4"/>
  <c r="R18" i="4"/>
  <c r="R7" i="4"/>
  <c r="R15" i="4"/>
  <c r="R16" i="4"/>
  <c r="R19" i="4"/>
  <c r="R5" i="4"/>
  <c r="R6" i="4"/>
  <c r="C21" i="1"/>
  <c r="C22" i="1" s="1"/>
  <c r="L2" i="13" s="1"/>
  <c r="E21" i="1"/>
  <c r="E22" i="1" s="1"/>
  <c r="L7" i="13" s="1"/>
  <c r="M21" i="1"/>
  <c r="M22" i="1" s="1"/>
  <c r="L15" i="13" s="1"/>
  <c r="D15" i="1"/>
  <c r="D16" i="1" s="1"/>
  <c r="K3" i="13" s="1"/>
  <c r="E15" i="1"/>
  <c r="E16" i="1" s="1"/>
  <c r="K7" i="13" s="1"/>
  <c r="M15" i="1"/>
  <c r="M16" i="1" s="1"/>
  <c r="K15" i="13" s="1"/>
  <c r="J2" i="13"/>
  <c r="D10" i="1"/>
  <c r="J3" i="13" s="1"/>
  <c r="E10" i="1"/>
  <c r="J7" i="13" s="1"/>
  <c r="M10" i="1"/>
  <c r="J15" i="13" s="1"/>
  <c r="D6" i="1"/>
  <c r="D7" i="1" s="1"/>
  <c r="I3" i="13" s="1"/>
  <c r="E6" i="1"/>
  <c r="E7" i="1" s="1"/>
  <c r="I7" i="13" s="1"/>
  <c r="M6" i="1"/>
  <c r="M7" i="1" s="1"/>
  <c r="I15" i="13" s="1"/>
  <c r="Q9" i="11"/>
  <c r="Q5" i="11"/>
  <c r="Q29" i="11"/>
  <c r="Q9" i="10"/>
  <c r="Q5" i="10"/>
  <c r="Q9" i="9"/>
  <c r="Q5" i="9"/>
  <c r="Q5" i="8"/>
  <c r="Q10" i="8"/>
  <c r="Q28" i="8"/>
  <c r="Q29" i="8"/>
  <c r="Q9" i="6"/>
  <c r="Q24" i="6"/>
  <c r="Q5" i="6"/>
  <c r="Q29" i="6"/>
  <c r="Q28" i="5"/>
  <c r="Q9" i="5"/>
  <c r="Q29" i="5"/>
  <c r="Q5" i="5"/>
  <c r="R20" i="4"/>
  <c r="R8" i="4"/>
  <c r="R9" i="4"/>
  <c r="Q10" i="11"/>
  <c r="Q10" i="10"/>
  <c r="Q10" i="9"/>
  <c r="Q10" i="6"/>
  <c r="Q10" i="5"/>
  <c r="N7" i="1" l="1"/>
  <c r="I17" i="13" s="1"/>
  <c r="V7" i="1"/>
  <c r="I18" i="13" s="1"/>
  <c r="N2" i="13"/>
  <c r="AD7" i="1"/>
  <c r="I27" i="13" s="1"/>
  <c r="M27" i="13" s="1"/>
  <c r="AG7" i="1"/>
  <c r="I25" i="13" s="1"/>
  <c r="AF7" i="1"/>
  <c r="I8" i="13" s="1"/>
  <c r="Q24" i="34"/>
  <c r="Q29" i="34" s="1"/>
  <c r="Q5" i="34"/>
  <c r="Q10" i="34"/>
  <c r="Q29" i="29"/>
  <c r="Q5" i="29"/>
  <c r="Q10" i="29"/>
  <c r="Q5" i="17"/>
  <c r="Q10" i="17"/>
  <c r="J32" i="17"/>
  <c r="Q25" i="17"/>
  <c r="Q28" i="17" s="1"/>
  <c r="F32" i="17"/>
  <c r="Q27" i="17"/>
  <c r="Q24" i="17"/>
  <c r="Q29" i="17" s="1"/>
  <c r="Q24" i="7"/>
  <c r="Q10" i="7"/>
  <c r="Q29" i="7"/>
  <c r="G12" i="3"/>
  <c r="R7" i="3"/>
  <c r="R5" i="3"/>
  <c r="R6" i="3"/>
  <c r="O12" i="3"/>
  <c r="K12" i="3"/>
  <c r="R4" i="3"/>
  <c r="R7" i="2"/>
  <c r="K18" i="2"/>
  <c r="O31" i="2"/>
  <c r="R6" i="2"/>
  <c r="R26" i="2"/>
  <c r="K31" i="2"/>
  <c r="R25" i="2"/>
  <c r="R5" i="2"/>
  <c r="R24" i="2"/>
  <c r="O18" i="2"/>
  <c r="G31" i="2"/>
  <c r="G18" i="2"/>
  <c r="J35" i="13"/>
  <c r="K35" i="13"/>
  <c r="M2" i="13"/>
  <c r="N29" i="13"/>
  <c r="L7" i="1"/>
  <c r="I12" i="13" s="1"/>
  <c r="N34" i="13"/>
  <c r="M25" i="13"/>
  <c r="AA7" i="1"/>
  <c r="I32" i="13" s="1"/>
  <c r="H7" i="1"/>
  <c r="I6" i="13" s="1"/>
  <c r="P7" i="1"/>
  <c r="I13" i="13" s="1"/>
  <c r="T7" i="1"/>
  <c r="I20" i="13" s="1"/>
  <c r="N15" i="13"/>
  <c r="N16" i="13"/>
  <c r="N13" i="13"/>
  <c r="F7" i="1"/>
  <c r="I4" i="13" s="1"/>
  <c r="O7" i="1"/>
  <c r="I19" i="13" s="1"/>
  <c r="Q7" i="1"/>
  <c r="I14" i="13" s="1"/>
  <c r="Z7" i="1"/>
  <c r="I28" i="13" s="1"/>
  <c r="N10" i="13"/>
  <c r="N19" i="13"/>
  <c r="N9" i="13"/>
  <c r="N14" i="13"/>
  <c r="L3" i="13"/>
  <c r="M3" i="13" s="1"/>
  <c r="AE7" i="1"/>
  <c r="I33" i="13" s="1"/>
  <c r="N8" i="13"/>
  <c r="N4" i="13"/>
  <c r="N21" i="13"/>
  <c r="L23" i="13"/>
  <c r="L30" i="13"/>
  <c r="N33" i="13"/>
  <c r="N27" i="13"/>
  <c r="N25" i="13"/>
  <c r="N7" i="13"/>
  <c r="N18" i="13"/>
  <c r="N22" i="13"/>
  <c r="N6" i="13"/>
  <c r="N24" i="13"/>
  <c r="N20" i="13"/>
  <c r="N5" i="13"/>
  <c r="N17" i="13"/>
  <c r="N32" i="13"/>
  <c r="Q8" i="31"/>
  <c r="N32" i="31"/>
  <c r="Q25" i="31"/>
  <c r="Q27" i="31"/>
  <c r="Q6" i="31"/>
  <c r="Q9" i="31" s="1"/>
  <c r="J32" i="31"/>
  <c r="J20" i="31"/>
  <c r="Q5" i="31" s="1"/>
  <c r="Q28" i="31"/>
  <c r="M24" i="13"/>
  <c r="N20" i="26"/>
  <c r="Q8" i="26"/>
  <c r="Q6" i="26"/>
  <c r="Q29" i="26"/>
  <c r="J20" i="26"/>
  <c r="Q5" i="26" s="1"/>
  <c r="Q9" i="26"/>
  <c r="M11" i="13"/>
  <c r="M17" i="13"/>
  <c r="N32" i="25"/>
  <c r="N20" i="25"/>
  <c r="Q26" i="25"/>
  <c r="Q25" i="25"/>
  <c r="Q8" i="25"/>
  <c r="Q6" i="25"/>
  <c r="J20" i="25"/>
  <c r="J32" i="25"/>
  <c r="Q24" i="25" s="1"/>
  <c r="Q9" i="25"/>
  <c r="M9" i="13"/>
  <c r="M5" i="13"/>
  <c r="M29" i="13"/>
  <c r="M18" i="13"/>
  <c r="M22" i="13"/>
  <c r="M7" i="13"/>
  <c r="M21" i="13"/>
  <c r="M16" i="13"/>
  <c r="M10" i="13"/>
  <c r="M34" i="13"/>
  <c r="M15" i="13"/>
  <c r="M8" i="13"/>
  <c r="R8" i="2" l="1"/>
  <c r="R8" i="3"/>
  <c r="R9" i="3" s="1"/>
  <c r="R4" i="2"/>
  <c r="R9" i="2" s="1"/>
  <c r="R27" i="2"/>
  <c r="R23" i="2"/>
  <c r="I35" i="13"/>
  <c r="L35" i="13"/>
  <c r="M23" i="13"/>
  <c r="N30" i="13"/>
  <c r="M28" i="13"/>
  <c r="M33" i="13"/>
  <c r="M19" i="13"/>
  <c r="M32" i="13"/>
  <c r="M13" i="13"/>
  <c r="M4" i="13"/>
  <c r="M6" i="13"/>
  <c r="M12" i="13"/>
  <c r="M20" i="13"/>
  <c r="M14" i="13"/>
  <c r="M30" i="13"/>
  <c r="N3" i="13"/>
  <c r="N23" i="13"/>
  <c r="Q24" i="31"/>
  <c r="Q29" i="31"/>
  <c r="Q10" i="31"/>
  <c r="Q10" i="26"/>
  <c r="Q28" i="25"/>
  <c r="Q29" i="25" s="1"/>
  <c r="Q5" i="25"/>
  <c r="Q10" i="25"/>
  <c r="R28" i="2" l="1"/>
  <c r="N35" i="13"/>
  <c r="M35" i="13"/>
  <c r="I24" i="3"/>
  <c r="O24" i="3"/>
  <c r="L24" i="3"/>
  <c r="M24" i="3"/>
  <c r="R18" i="3" s="1"/>
  <c r="D24" i="3"/>
  <c r="N24" i="3"/>
  <c r="F24" i="3"/>
  <c r="R19" i="3" s="1"/>
  <c r="J24" i="3"/>
  <c r="E24" i="3"/>
  <c r="G24" i="3"/>
  <c r="K24" i="3"/>
  <c r="R16" i="3" s="1"/>
  <c r="H24" i="3"/>
  <c r="R17" i="3" l="1"/>
  <c r="R20" i="3" s="1"/>
  <c r="R21" i="3" s="1"/>
</calcChain>
</file>

<file path=xl/sharedStrings.xml><?xml version="1.0" encoding="utf-8"?>
<sst xmlns="http://schemas.openxmlformats.org/spreadsheetml/2006/main" count="2592" uniqueCount="236">
  <si>
    <t>Nr</t>
  </si>
  <si>
    <t>System</t>
  </si>
  <si>
    <t>Rate number</t>
  </si>
  <si>
    <t>Downloads</t>
  </si>
  <si>
    <t>Duolingo</t>
  </si>
  <si>
    <t>Memrise</t>
  </si>
  <si>
    <t>Strava</t>
  </si>
  <si>
    <t>Fitbit</t>
  </si>
  <si>
    <t>Fabulous</t>
  </si>
  <si>
    <t>Headspace</t>
  </si>
  <si>
    <t>Lumosity</t>
  </si>
  <si>
    <t>Khan academy</t>
  </si>
  <si>
    <t>Fortune city</t>
  </si>
  <si>
    <t>Brilliant</t>
  </si>
  <si>
    <t>Habitica</t>
  </si>
  <si>
    <t>Khan Academy Kids</t>
  </si>
  <si>
    <t>ABCmouse</t>
  </si>
  <si>
    <t>CodeAcademy Go</t>
  </si>
  <si>
    <t>Duolingo ABC</t>
  </si>
  <si>
    <t>CogniFit</t>
  </si>
  <si>
    <t>Clarify</t>
  </si>
  <si>
    <t>Habio - Simple Habit Tracker</t>
  </si>
  <si>
    <t>SuperBetter</t>
  </si>
  <si>
    <t>Shape by fabulous</t>
  </si>
  <si>
    <t>Fitmint: Walk &amp; Steps Tracker</t>
  </si>
  <si>
    <t>Sidekick Health</t>
  </si>
  <si>
    <t>TaskGame - Gamify your life</t>
  </si>
  <si>
    <t>Habit Tracker - Habit Mate</t>
  </si>
  <si>
    <t>Gametize: Explore Experiences</t>
  </si>
  <si>
    <t>Roomsy: Chores Tracker &amp; Chart</t>
  </si>
  <si>
    <t>Death Reminder App</t>
  </si>
  <si>
    <t>Aula Lengua</t>
  </si>
  <si>
    <t>Pharmacy Crack: Rx Drug Trivia</t>
  </si>
  <si>
    <t>Walken</t>
  </si>
  <si>
    <t>Foursquare Swarm: Check In</t>
  </si>
  <si>
    <t>Category</t>
  </si>
  <si>
    <t>Gamification system</t>
  </si>
  <si>
    <t>Khan academy kids</t>
  </si>
  <si>
    <t>ABC Mouse</t>
  </si>
  <si>
    <t>Shape</t>
  </si>
  <si>
    <t>Habio</t>
  </si>
  <si>
    <t>Sidekick</t>
  </si>
  <si>
    <t>Fitmint</t>
  </si>
  <si>
    <t>Death reminder app</t>
  </si>
  <si>
    <t>Total number of general recommendations provided</t>
  </si>
  <si>
    <t>-</t>
  </si>
  <si>
    <t>Total met</t>
  </si>
  <si>
    <t>Percentage met</t>
  </si>
  <si>
    <t>Total number of recommended gamification elements</t>
  </si>
  <si>
    <t>Elements present in the system out of recommended elements</t>
  </si>
  <si>
    <t>Total number of recommendations provided for recommended gamification elements</t>
  </si>
  <si>
    <t xml:space="preserve">	Partially met</t>
  </si>
  <si>
    <t xml:space="preserve">	Not met at all</t>
  </si>
  <si>
    <t>Total number of recommendations provided for not recommended gamification elements</t>
  </si>
  <si>
    <t>Usability recommendations for non-recommended elements fully met</t>
  </si>
  <si>
    <t>Total</t>
  </si>
  <si>
    <t>Quests</t>
  </si>
  <si>
    <t>Points</t>
  </si>
  <si>
    <t>Quizzes</t>
  </si>
  <si>
    <t>Challenges</t>
  </si>
  <si>
    <t>Teams</t>
  </si>
  <si>
    <t>Badges</t>
  </si>
  <si>
    <t>Levels</t>
  </si>
  <si>
    <t>Leaderboards</t>
  </si>
  <si>
    <t>Tasks</t>
  </si>
  <si>
    <t xml:space="preserve">Status bars </t>
  </si>
  <si>
    <t>Performance feedback</t>
  </si>
  <si>
    <t>Questions</t>
  </si>
  <si>
    <t>Avatar</t>
  </si>
  <si>
    <t>Notifications</t>
  </si>
  <si>
    <t>Streaks</t>
  </si>
  <si>
    <t>Retries</t>
  </si>
  <si>
    <t xml:space="preserve">Virtual currency </t>
  </si>
  <si>
    <t>Gifting</t>
  </si>
  <si>
    <t>Achievements</t>
  </si>
  <si>
    <t>Onboarding</t>
  </si>
  <si>
    <t>P</t>
  </si>
  <si>
    <t>H</t>
  </si>
  <si>
    <t>C</t>
  </si>
  <si>
    <t>n</t>
  </si>
  <si>
    <t>Rewards</t>
  </si>
  <si>
    <t>Narrative</t>
  </si>
  <si>
    <t>Full game</t>
  </si>
  <si>
    <t>Collection</t>
  </si>
  <si>
    <t>Reminders</t>
  </si>
  <si>
    <t>Assistance/virtual helpers</t>
  </si>
  <si>
    <t>Status bars</t>
  </si>
  <si>
    <t>Game rules</t>
  </si>
  <si>
    <t>Performace feedback</t>
  </si>
  <si>
    <t>Knowledge-sharing</t>
  </si>
  <si>
    <t>Collections</t>
  </si>
  <si>
    <t>Progress</t>
  </si>
  <si>
    <t>Leaderboard</t>
  </si>
  <si>
    <t>Customization</t>
  </si>
  <si>
    <t>Competition</t>
  </si>
  <si>
    <t>Performance stats</t>
  </si>
  <si>
    <t>Assistance</t>
  </si>
  <si>
    <t>Choices</t>
  </si>
  <si>
    <t>Virtual currency</t>
  </si>
  <si>
    <t>Virtual helpers</t>
  </si>
  <si>
    <t>Virtual treasure</t>
  </si>
  <si>
    <t>Cooperation</t>
  </si>
  <si>
    <t>XP</t>
  </si>
  <si>
    <t>Healthy points</t>
  </si>
  <si>
    <t>Virtual pets</t>
  </si>
  <si>
    <t>Assitance</t>
  </si>
  <si>
    <t>Knowlenge-sharing</t>
  </si>
  <si>
    <t>Knowlendge-sharing</t>
  </si>
  <si>
    <t>Trophies</t>
  </si>
  <si>
    <t>Challemges</t>
  </si>
  <si>
    <t>Time pressure</t>
  </si>
  <si>
    <t>Unlockable content</t>
  </si>
  <si>
    <t>Personalization</t>
  </si>
  <si>
    <t>Puzzles</t>
  </si>
  <si>
    <t>Fulll game</t>
  </si>
  <si>
    <t>Virtual helpers/asisstance</t>
  </si>
  <si>
    <t>Penalties</t>
  </si>
  <si>
    <t>Avatars</t>
  </si>
  <si>
    <t>Time presurre</t>
  </si>
  <si>
    <t>Narn: Habit Tracker &amp; Goals</t>
  </si>
  <si>
    <t xml:space="preserve">Workout Quest - Gamified Gym </t>
  </si>
  <si>
    <t>Age group</t>
  </si>
  <si>
    <t>Application domain</t>
  </si>
  <si>
    <t>education</t>
  </si>
  <si>
    <t>teenagers, adults, elderly</t>
  </si>
  <si>
    <t>children</t>
  </si>
  <si>
    <t>teenagers, adults, children</t>
  </si>
  <si>
    <t>mental health</t>
  </si>
  <si>
    <t>finance</t>
  </si>
  <si>
    <t>habits formation and productivity</t>
  </si>
  <si>
    <t>teenagers, adults</t>
  </si>
  <si>
    <t>mental health, habits formation and productivity</t>
  </si>
  <si>
    <t>sport fitness</t>
  </si>
  <si>
    <t>mental health, healthcare</t>
  </si>
  <si>
    <t>healthy eating, healthy living</t>
  </si>
  <si>
    <t>adults, elderly</t>
  </si>
  <si>
    <t>entertainment/social media</t>
  </si>
  <si>
    <t>education, healthcare</t>
  </si>
  <si>
    <t>education, habits formation and productivity</t>
  </si>
  <si>
    <t>DoS</t>
  </si>
  <si>
    <t>User rating</t>
  </si>
  <si>
    <t>Popular rate (DoS)</t>
  </si>
  <si>
    <t>General Usability Recommendations (GUR)</t>
  </si>
  <si>
    <t>Implemented Gamification Elements (IGE)</t>
  </si>
  <si>
    <t>Usability Recommendations for Recommended  Gamification Elements (URSIGE)</t>
  </si>
  <si>
    <t>Usability Recommendations for NOT Recommended  Gamification Elements (URUIGE)</t>
  </si>
  <si>
    <t>Overall</t>
  </si>
  <si>
    <t>Elements recommendations (URGE)</t>
  </si>
  <si>
    <t>Fulfilled</t>
  </si>
  <si>
    <t>Partially fulfilled</t>
  </si>
  <si>
    <t>Not fulfilled</t>
  </si>
  <si>
    <t>Recommendations by age group and application domain</t>
  </si>
  <si>
    <t>ISO 9241 recommendations</t>
  </si>
  <si>
    <t>WCAG 2.2 recommendations</t>
  </si>
  <si>
    <t>Recommended  Gamification Elements</t>
  </si>
  <si>
    <t>Not Recommended  Gamification Elements</t>
  </si>
  <si>
    <t>Total fulfilled</t>
  </si>
  <si>
    <t>Percentage fulfilled</t>
  </si>
  <si>
    <t>Google Play ratings count</t>
  </si>
  <si>
    <t>Good ratings count</t>
  </si>
  <si>
    <t>Bad ratings count</t>
  </si>
  <si>
    <t>Description</t>
  </si>
  <si>
    <t>Variable</t>
  </si>
  <si>
    <t>Value</t>
  </si>
  <si>
    <t>Control parameter</t>
  </si>
  <si>
    <t>TOTAL</t>
  </si>
  <si>
    <t>Degree of satisfaction</t>
  </si>
  <si>
    <t xml:space="preserve">	Partially fulfilled</t>
  </si>
  <si>
    <t xml:space="preserve">	Not fulfilled at all</t>
  </si>
  <si>
    <t>Total fullfiled</t>
  </si>
  <si>
    <t>This sheet presents detailed evaluation data for each analysed gamified system. Each system is represented in a separate tab and contains structured tables used to assess the implementation of usability recommendations.</t>
  </si>
  <si>
    <t>Sheet: System-Level Evaluation Data (Duolingo, Duolingo ABC, Khan academy….)</t>
  </si>
  <si>
    <t>1. Evaluation of Recommended Gamification Elements (URSIGE)</t>
  </si>
  <si>
    <t>The first table presents the evaluation of usability recommendations for recommended gamification elements (URSIGE)</t>
  </si>
  <si>
    <t>Three types of usability recommendation sources are included:</t>
  </si>
  <si>
    <t>For each gamification element (e.g., Quests, Points, Levels), the following implementation levels are recorded:</t>
  </si>
  <si>
    <t>Fulfilled – the recommendation is fully implemented</t>
  </si>
  <si>
    <t>Partially fulfilled – the recommendation is partially implemented</t>
  </si>
  <si>
    <t>Not fulfilled – the recommendation is not implemented</t>
  </si>
  <si>
    <t>The values in the table indicate the number of recommendations in each category.</t>
  </si>
  <si>
    <t>A summary table on the right aggregates these values and provides:</t>
  </si>
  <si>
    <t>Total number of recommendations</t>
  </si>
  <si>
    <t>Number of fulfilled recommendations</t>
  </si>
  <si>
    <t>Number of partially fulfilled recommendations</t>
  </si>
  <si>
    <t>Number of not fulfilled recommendations</t>
  </si>
  <si>
    <t>Overall fulfilment percentage</t>
  </si>
  <si>
    <t>2. Evaluation of Not Recommended Gamification Elements (URUIGE)</t>
  </si>
  <si>
    <t>The second table follows the same structure but evaluates usability recommendations for gamification elements that were not recommended by the tool but were still implemented in the system (URUIGE).</t>
  </si>
  <si>
    <t>The same three recommendation sources are used:</t>
  </si>
  <si>
    <t>The evaluation logic is identical to the recommended elements:</t>
  </si>
  <si>
    <t>Fulfilled / Partially fulfilled / Not fulfilled counts are recorded</t>
  </si>
  <si>
    <t>Totals and aggregated results are calculated</t>
  </si>
  <si>
    <t>A summary table provides overall metrics for non-recommended elements, including:</t>
  </si>
  <si>
    <t>3. Degree of Satisfaction (DoS) Calculation</t>
  </si>
  <si>
    <t>At the bottom of the sheet, the Degree of Satisfaction (DoS) is calculated for the evaluated application.</t>
  </si>
  <si>
    <t>The calculation is based on:</t>
  </si>
  <si>
    <t>P – total number of ratings</t>
  </si>
  <si>
    <t>n – control parameter</t>
  </si>
  <si>
    <t>The DoS metric is used to reflect the overall user satisfaction with the application and is later used in correlation analysis with usability recommendation adherence.</t>
  </si>
  <si>
    <t>H – number of high ratings</t>
  </si>
  <si>
    <t xml:space="preserve">C – number of low ratings </t>
  </si>
  <si>
    <t>Sheet: Results by Recommendation Category</t>
  </si>
  <si>
    <t>This sheet presents aggregated results for each analysed gamified system. Each column represents a system. Each row represents evaluation results for a specific recommendation category.</t>
  </si>
  <si>
    <t>The following categories are evaluated:</t>
  </si>
  <si>
    <t>Usability Recommendations for Recommended Gamification Elements (URSIGE)</t>
  </si>
  <si>
    <t>Usability Recommendations for Not Recommended Gamification Elements (URUIGE)</t>
  </si>
  <si>
    <t>This section shows how each system satisfies general usability recommendations.</t>
  </si>
  <si>
    <t>The following values are provided:</t>
  </si>
  <si>
    <t>Total fulfilled (Fulfilled + 0.5 × Partially fulfilled)</t>
  </si>
  <si>
    <t>This section evaluates how many recommended gamification elements are implemented.</t>
  </si>
  <si>
    <t>Number of elements implemented in the system</t>
  </si>
  <si>
    <t>Percentage of recommended elements implemented</t>
  </si>
  <si>
    <t>Usability Recommendations for Recommended Elements (URSIGE)</t>
  </si>
  <si>
    <t>Usability Recommendations for Not Recommended Elements (URUIGE)</t>
  </si>
  <si>
    <t>This section presents aggregated results of usability recommendation implementation for recommended gamification elements. The values are derived from the system-level evaluation sheets, where each system was analysed individually.</t>
  </si>
  <si>
    <t>This section presents aggregated results of usability recommendation implementation for gamification elements that were not recommended but are implemented in the system. The values are derived from the system-level evaluation sheets.</t>
  </si>
  <si>
    <t>Sheet: Results</t>
  </si>
  <si>
    <t>System Information</t>
  </si>
  <si>
    <t>Age group – target user groups of the system (e.g., children, teenagers, adults, elderly)</t>
  </si>
  <si>
    <t>Application domain – domain(s) in which the system is used (e.g., education, health, productivity)</t>
  </si>
  <si>
    <t>Popularity Metrics</t>
  </si>
  <si>
    <t>Downloads – total number of downloads</t>
  </si>
  <si>
    <t>Popular rate (DoS) – Degree of Satisfaction metric calculated based on rating distribution; reflects overall user satisfaction and mitigates bias caused by rating volume</t>
  </si>
  <si>
    <t>Usability and Gamification Metrics</t>
  </si>
  <si>
    <t>General Usability Recommendations (GUR) – percentage of general usability recommendations fulfilled in the system</t>
  </si>
  <si>
    <t>Implemented Gamification Elements (IGE) – percentage of recommended gamification elements that are implemented in the system</t>
  </si>
  <si>
    <t>Usability Recommendations for Recommended Gamification Elements (URSIGE) – percentage of usability recommendations fulfilled for recommended gamification elements</t>
  </si>
  <si>
    <t>Usability Recommendations for NOT Recommended Gamification Elements (URUIGE) – percentage of usability recommendations fulfilled for gamification elements that were not recommended but are implemented</t>
  </si>
  <si>
    <t>Overall – combined adherence metric calculated from GUR, URSIGE, and URUIGE</t>
  </si>
  <si>
    <t>Elements recommendations (URGE) – overall adherence to usability recommendations for gamification elements</t>
  </si>
  <si>
    <t>•</t>
  </si>
  <si>
    <t>Total – total number of applicable recommendations (Fulfilled + 0.5 × Partially fulfilled)</t>
  </si>
  <si>
    <t xml:space="preserve"> </t>
  </si>
  <si>
    <t>This sheet presents the aggregated results of all analysed gamified systems. Each row represents a single gamified system. Each column represents a specific evaluation metric.</t>
  </si>
  <si>
    <t>User rating – average user rating of the system (from Google Play store)</t>
  </si>
  <si>
    <t>Rate number – total number of user ratings (from Google Play store)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</si>
</sst>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Helvetica"/>
      <family val="2"/>
    </font>
    <font>
      <b/>
      <sz val="13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6100"/>
      <name val="Aptos Narrow"/>
      <scheme val="minor"/>
    </font>
    <font>
      <b/>
      <sz val="12"/>
      <color theme="1"/>
      <name val="Helvetica"/>
      <family val="2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  <font>
      <b/>
      <sz val="12"/>
      <color rgb="FF000000"/>
      <name val="Aptos Display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BECD2"/>
        <bgColor indexed="64"/>
      </patternFill>
    </fill>
    <fill>
      <patternFill patternType="solid">
        <fgColor rgb="FFFFFCDB"/>
        <bgColor indexed="64"/>
      </patternFill>
    </fill>
    <fill>
      <patternFill patternType="solid">
        <fgColor rgb="FFFFECEC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6" fillId="0" borderId="6" applyNumberFormat="0" applyFill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" fillId="10" borderId="0" applyNumberFormat="0" applyBorder="0" applyAlignment="0" applyProtection="0"/>
  </cellStyleXfs>
  <cellXfs count="184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2" xfId="0" applyBorder="1"/>
    <xf numFmtId="0" fontId="3" fillId="0" borderId="0" xfId="0" applyFont="1"/>
    <xf numFmtId="0" fontId="4" fillId="0" borderId="0" xfId="0" applyFont="1"/>
    <xf numFmtId="0" fontId="0" fillId="0" borderId="4" xfId="0" applyBorder="1"/>
    <xf numFmtId="0" fontId="4" fillId="0" borderId="4" xfId="0" applyFont="1" applyBorder="1"/>
    <xf numFmtId="0" fontId="0" fillId="4" borderId="4" xfId="0" applyFill="1" applyBorder="1" applyAlignment="1">
      <alignment wrapText="1"/>
    </xf>
    <xf numFmtId="0" fontId="0" fillId="4" borderId="4" xfId="0" applyFill="1" applyBorder="1"/>
    <xf numFmtId="9" fontId="0" fillId="0" borderId="4" xfId="1" applyFont="1" applyBorder="1"/>
    <xf numFmtId="0" fontId="5" fillId="0" borderId="4" xfId="0" applyFont="1" applyBorder="1"/>
    <xf numFmtId="0" fontId="0" fillId="0" borderId="5" xfId="0" applyBorder="1"/>
    <xf numFmtId="9" fontId="7" fillId="6" borderId="2" xfId="3" applyNumberFormat="1" applyBorder="1"/>
    <xf numFmtId="9" fontId="8" fillId="7" borderId="2" xfId="4" applyNumberFormat="1" applyBorder="1"/>
    <xf numFmtId="0" fontId="6" fillId="0" borderId="6" xfId="2"/>
    <xf numFmtId="0" fontId="6" fillId="0" borderId="6" xfId="2" applyFill="1"/>
    <xf numFmtId="9" fontId="7" fillId="6" borderId="0" xfId="3" applyNumberFormat="1" applyBorder="1"/>
    <xf numFmtId="0" fontId="0" fillId="0" borderId="3" xfId="0" applyBorder="1"/>
    <xf numFmtId="0" fontId="0" fillId="0" borderId="7" xfId="0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2" borderId="15" xfId="0" applyFill="1" applyBorder="1" applyAlignment="1">
      <alignment wrapText="1"/>
    </xf>
    <xf numFmtId="9" fontId="7" fillId="6" borderId="16" xfId="3" applyNumberFormat="1" applyBorder="1"/>
    <xf numFmtId="9" fontId="8" fillId="7" borderId="16" xfId="4" applyNumberFormat="1" applyBorder="1"/>
    <xf numFmtId="9" fontId="8" fillId="7" borderId="17" xfId="4" applyNumberFormat="1" applyBorder="1"/>
    <xf numFmtId="9" fontId="7" fillId="6" borderId="17" xfId="3" applyNumberFormat="1" applyBorder="1"/>
    <xf numFmtId="0" fontId="0" fillId="3" borderId="9" xfId="0" applyFill="1" applyBorder="1" applyAlignment="1">
      <alignment wrapText="1"/>
    </xf>
    <xf numFmtId="9" fontId="9" fillId="8" borderId="0" xfId="5" applyNumberFormat="1" applyBorder="1"/>
    <xf numFmtId="0" fontId="0" fillId="4" borderId="9" xfId="0" applyFill="1" applyBorder="1" applyAlignment="1">
      <alignment wrapText="1"/>
    </xf>
    <xf numFmtId="0" fontId="0" fillId="4" borderId="15" xfId="0" applyFill="1" applyBorder="1"/>
    <xf numFmtId="0" fontId="0" fillId="0" borderId="18" xfId="0" applyBorder="1"/>
    <xf numFmtId="9" fontId="8" fillId="7" borderId="0" xfId="4" applyNumberFormat="1" applyBorder="1"/>
    <xf numFmtId="0" fontId="10" fillId="0" borderId="0" xfId="0" applyFont="1"/>
    <xf numFmtId="0" fontId="6" fillId="0" borderId="0" xfId="2" applyFill="1" applyBorder="1"/>
    <xf numFmtId="9" fontId="9" fillId="8" borderId="17" xfId="5" applyNumberFormat="1" applyBorder="1"/>
    <xf numFmtId="0" fontId="0" fillId="4" borderId="19" xfId="0" applyFill="1" applyBorder="1" applyAlignment="1">
      <alignment wrapText="1"/>
    </xf>
    <xf numFmtId="2" fontId="0" fillId="0" borderId="0" xfId="1" applyNumberFormat="1" applyFont="1"/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7" xfId="0" applyBorder="1" applyAlignment="1">
      <alignment horizontal="right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3" fontId="13" fillId="0" borderId="4" xfId="0" applyNumberFormat="1" applyFont="1" applyBorder="1"/>
    <xf numFmtId="0" fontId="14" fillId="6" borderId="4" xfId="3" applyFont="1" applyBorder="1"/>
    <xf numFmtId="0" fontId="4" fillId="0" borderId="20" xfId="0" applyFont="1" applyBorder="1"/>
    <xf numFmtId="0" fontId="0" fillId="0" borderId="20" xfId="0" applyBorder="1"/>
    <xf numFmtId="0" fontId="0" fillId="0" borderId="22" xfId="0" applyBorder="1"/>
    <xf numFmtId="0" fontId="3" fillId="0" borderId="20" xfId="0" applyFont="1" applyBorder="1" applyAlignment="1">
      <alignment horizontal="center"/>
    </xf>
    <xf numFmtId="0" fontId="0" fillId="0" borderId="21" xfId="0" applyBorder="1"/>
    <xf numFmtId="0" fontId="0" fillId="0" borderId="24" xfId="0" applyBorder="1"/>
    <xf numFmtId="0" fontId="3" fillId="0" borderId="25" xfId="0" applyFont="1" applyBorder="1"/>
    <xf numFmtId="0" fontId="3" fillId="0" borderId="25" xfId="0" applyFont="1" applyBorder="1" applyAlignment="1">
      <alignment horizontal="left" wrapText="1"/>
    </xf>
    <xf numFmtId="0" fontId="3" fillId="0" borderId="25" xfId="6" applyFont="1" applyFill="1" applyBorder="1" applyAlignment="1">
      <alignment horizontal="left" wrapText="1"/>
    </xf>
    <xf numFmtId="0" fontId="3" fillId="0" borderId="26" xfId="6" applyFont="1" applyFill="1" applyBorder="1" applyAlignment="1">
      <alignment horizontal="left" wrapText="1"/>
    </xf>
    <xf numFmtId="0" fontId="0" fillId="0" borderId="27" xfId="0" applyBorder="1"/>
    <xf numFmtId="0" fontId="0" fillId="0" borderId="23" xfId="0" applyBorder="1"/>
    <xf numFmtId="0" fontId="4" fillId="0" borderId="23" xfId="0" applyFont="1" applyBorder="1"/>
    <xf numFmtId="2" fontId="0" fillId="0" borderId="23" xfId="0" applyNumberFormat="1" applyBorder="1"/>
    <xf numFmtId="2" fontId="0" fillId="0" borderId="28" xfId="0" applyNumberFormat="1" applyBorder="1"/>
    <xf numFmtId="2" fontId="8" fillId="7" borderId="23" xfId="4" applyNumberFormat="1" applyBorder="1"/>
    <xf numFmtId="2" fontId="0" fillId="9" borderId="23" xfId="0" applyNumberFormat="1" applyFill="1" applyBorder="1"/>
    <xf numFmtId="3" fontId="0" fillId="0" borderId="23" xfId="0" applyNumberFormat="1" applyBorder="1"/>
    <xf numFmtId="2" fontId="7" fillId="6" borderId="23" xfId="3" applyNumberFormat="1" applyBorder="1"/>
    <xf numFmtId="2" fontId="8" fillId="7" borderId="28" xfId="4" applyNumberFormat="1" applyBorder="1"/>
    <xf numFmtId="2" fontId="10" fillId="0" borderId="23" xfId="0" applyNumberFormat="1" applyFont="1" applyBorder="1"/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wrapText="1"/>
    </xf>
    <xf numFmtId="9" fontId="0" fillId="0" borderId="30" xfId="0" applyNumberFormat="1" applyBorder="1"/>
    <xf numFmtId="9" fontId="0" fillId="0" borderId="31" xfId="0" applyNumberFormat="1" applyBorder="1"/>
    <xf numFmtId="0" fontId="3" fillId="0" borderId="32" xfId="0" applyFont="1" applyBorder="1"/>
    <xf numFmtId="0" fontId="14" fillId="6" borderId="21" xfId="3" applyFont="1" applyBorder="1"/>
    <xf numFmtId="0" fontId="4" fillId="0" borderId="32" xfId="0" applyFont="1" applyBorder="1"/>
    <xf numFmtId="3" fontId="4" fillId="0" borderId="32" xfId="0" applyNumberFormat="1" applyFont="1" applyBorder="1"/>
    <xf numFmtId="3" fontId="13" fillId="0" borderId="32" xfId="0" applyNumberFormat="1" applyFont="1" applyBorder="1"/>
    <xf numFmtId="0" fontId="3" fillId="0" borderId="32" xfId="0" applyFont="1" applyBorder="1" applyAlignment="1">
      <alignment horizontal="center"/>
    </xf>
    <xf numFmtId="0" fontId="5" fillId="0" borderId="20" xfId="0" applyFont="1" applyBorder="1"/>
    <xf numFmtId="0" fontId="15" fillId="0" borderId="32" xfId="0" applyFont="1" applyBorder="1"/>
    <xf numFmtId="0" fontId="12" fillId="0" borderId="32" xfId="0" applyFont="1" applyBorder="1"/>
    <xf numFmtId="2" fontId="0" fillId="11" borderId="23" xfId="0" applyNumberFormat="1" applyFill="1" applyBorder="1"/>
    <xf numFmtId="0" fontId="4" fillId="12" borderId="0" xfId="0" applyFont="1" applyFill="1"/>
    <xf numFmtId="0" fontId="16" fillId="12" borderId="0" xfId="0" applyFont="1" applyFill="1"/>
    <xf numFmtId="0" fontId="4" fillId="12" borderId="33" xfId="0" applyFont="1" applyFill="1" applyBorder="1"/>
    <xf numFmtId="0" fontId="16" fillId="12" borderId="33" xfId="0" applyFont="1" applyFill="1" applyBorder="1"/>
    <xf numFmtId="0" fontId="4" fillId="12" borderId="38" xfId="0" applyFont="1" applyFill="1" applyBorder="1"/>
    <xf numFmtId="0" fontId="4" fillId="12" borderId="40" xfId="0" applyFont="1" applyFill="1" applyBorder="1"/>
    <xf numFmtId="0" fontId="18" fillId="12" borderId="34" xfId="0" applyFont="1" applyFill="1" applyBorder="1"/>
    <xf numFmtId="0" fontId="0" fillId="12" borderId="35" xfId="0" applyFill="1" applyBorder="1"/>
    <xf numFmtId="0" fontId="0" fillId="12" borderId="36" xfId="0" applyFill="1" applyBorder="1"/>
    <xf numFmtId="0" fontId="2" fillId="12" borderId="37" xfId="0" applyFont="1" applyFill="1" applyBorder="1"/>
    <xf numFmtId="0" fontId="0" fillId="12" borderId="0" xfId="0" applyFill="1"/>
    <xf numFmtId="0" fontId="0" fillId="12" borderId="38" xfId="0" applyFill="1" applyBorder="1"/>
    <xf numFmtId="0" fontId="2" fillId="12" borderId="0" xfId="0" applyFont="1" applyFill="1"/>
    <xf numFmtId="0" fontId="4" fillId="13" borderId="35" xfId="0" applyFont="1" applyFill="1" applyBorder="1"/>
    <xf numFmtId="0" fontId="4" fillId="13" borderId="36" xfId="0" applyFont="1" applyFill="1" applyBorder="1"/>
    <xf numFmtId="0" fontId="16" fillId="13" borderId="37" xfId="0" applyFont="1" applyFill="1" applyBorder="1"/>
    <xf numFmtId="0" fontId="4" fillId="13" borderId="0" xfId="0" applyFont="1" applyFill="1"/>
    <xf numFmtId="0" fontId="4" fillId="13" borderId="38" xfId="0" applyFont="1" applyFill="1" applyBorder="1"/>
    <xf numFmtId="0" fontId="16" fillId="13" borderId="0" xfId="0" applyFont="1" applyFill="1"/>
    <xf numFmtId="0" fontId="16" fillId="13" borderId="33" xfId="0" applyFont="1" applyFill="1" applyBorder="1"/>
    <xf numFmtId="0" fontId="4" fillId="13" borderId="33" xfId="0" applyFont="1" applyFill="1" applyBorder="1"/>
    <xf numFmtId="0" fontId="4" fillId="13" borderId="40" xfId="0" applyFont="1" applyFill="1" applyBorder="1"/>
    <xf numFmtId="0" fontId="17" fillId="13" borderId="34" xfId="0" applyFont="1" applyFill="1" applyBorder="1"/>
    <xf numFmtId="0" fontId="3" fillId="13" borderId="35" xfId="0" applyFont="1" applyFill="1" applyBorder="1"/>
    <xf numFmtId="0" fontId="19" fillId="0" borderId="0" xfId="0" applyFont="1"/>
    <xf numFmtId="0" fontId="19" fillId="14" borderId="35" xfId="0" applyFont="1" applyFill="1" applyBorder="1"/>
    <xf numFmtId="0" fontId="19" fillId="14" borderId="36" xfId="0" applyFont="1" applyFill="1" applyBorder="1"/>
    <xf numFmtId="0" fontId="19" fillId="14" borderId="0" xfId="0" applyFont="1" applyFill="1"/>
    <xf numFmtId="0" fontId="19" fillId="14" borderId="38" xfId="0" applyFont="1" applyFill="1" applyBorder="1"/>
    <xf numFmtId="0" fontId="20" fillId="14" borderId="0" xfId="0" applyFont="1" applyFill="1"/>
    <xf numFmtId="0" fontId="21" fillId="14" borderId="34" xfId="0" applyFont="1" applyFill="1" applyBorder="1"/>
    <xf numFmtId="0" fontId="20" fillId="14" borderId="33" xfId="0" applyFont="1" applyFill="1" applyBorder="1"/>
    <xf numFmtId="0" fontId="19" fillId="14" borderId="33" xfId="0" applyFont="1" applyFill="1" applyBorder="1"/>
    <xf numFmtId="0" fontId="19" fillId="14" borderId="40" xfId="0" applyFont="1" applyFill="1" applyBorder="1"/>
    <xf numFmtId="0" fontId="0" fillId="14" borderId="0" xfId="0" applyFill="1"/>
    <xf numFmtId="0" fontId="20" fillId="0" borderId="0" xfId="0" applyFont="1" applyAlignment="1">
      <alignment horizontal="left" wrapText="1"/>
    </xf>
    <xf numFmtId="0" fontId="0" fillId="14" borderId="38" xfId="0" applyFill="1" applyBorder="1"/>
    <xf numFmtId="0" fontId="4" fillId="12" borderId="37" xfId="0" applyFont="1" applyFill="1" applyBorder="1" applyAlignment="1">
      <alignment horizontal="right" indent="1"/>
    </xf>
    <xf numFmtId="0" fontId="4" fillId="13" borderId="37" xfId="0" applyFont="1" applyFill="1" applyBorder="1" applyAlignment="1">
      <alignment horizontal="right" indent="1"/>
    </xf>
    <xf numFmtId="0" fontId="19" fillId="14" borderId="37" xfId="0" applyFont="1" applyFill="1" applyBorder="1" applyAlignment="1">
      <alignment horizontal="right" indent="1"/>
    </xf>
    <xf numFmtId="0" fontId="0" fillId="14" borderId="39" xfId="0" applyFill="1" applyBorder="1" applyAlignment="1">
      <alignment horizontal="right" indent="1"/>
    </xf>
    <xf numFmtId="0" fontId="20" fillId="14" borderId="0" xfId="0" applyFont="1" applyFill="1" applyAlignment="1">
      <alignment horizontal="left" wrapText="1"/>
    </xf>
    <xf numFmtId="0" fontId="20" fillId="14" borderId="38" xfId="0" applyFont="1" applyFill="1" applyBorder="1" applyAlignment="1">
      <alignment horizontal="left" wrapText="1"/>
    </xf>
    <xf numFmtId="0" fontId="0" fillId="14" borderId="0" xfId="0" applyFill="1" applyAlignment="1">
      <alignment horizontal="left" wrapText="1"/>
    </xf>
    <xf numFmtId="0" fontId="0" fillId="14" borderId="38" xfId="0" applyFill="1" applyBorder="1" applyAlignment="1">
      <alignment horizontal="left" wrapText="1"/>
    </xf>
    <xf numFmtId="0" fontId="0" fillId="14" borderId="33" xfId="0" applyFill="1" applyBorder="1" applyAlignment="1">
      <alignment horizontal="left" wrapText="1"/>
    </xf>
    <xf numFmtId="0" fontId="0" fillId="14" borderId="40" xfId="0" applyFill="1" applyBorder="1" applyAlignment="1">
      <alignment horizontal="left" wrapText="1"/>
    </xf>
    <xf numFmtId="0" fontId="20" fillId="14" borderId="37" xfId="0" applyFont="1" applyFill="1" applyBorder="1" applyAlignment="1">
      <alignment horizontal="left" vertical="top" wrapText="1"/>
    </xf>
    <xf numFmtId="0" fontId="20" fillId="14" borderId="0" xfId="0" applyFont="1" applyFill="1" applyAlignment="1">
      <alignment horizontal="left" vertical="top" wrapText="1"/>
    </xf>
    <xf numFmtId="0" fontId="20" fillId="14" borderId="38" xfId="0" applyFont="1" applyFill="1" applyBorder="1" applyAlignment="1">
      <alignment horizontal="left" vertical="top" wrapText="1"/>
    </xf>
    <xf numFmtId="0" fontId="20" fillId="14" borderId="33" xfId="0" applyFont="1" applyFill="1" applyBorder="1" applyAlignment="1">
      <alignment horizontal="left" wrapText="1"/>
    </xf>
    <xf numFmtId="0" fontId="20" fillId="14" borderId="40" xfId="0" applyFont="1" applyFill="1" applyBorder="1" applyAlignment="1">
      <alignment horizontal="left" wrapText="1"/>
    </xf>
    <xf numFmtId="0" fontId="16" fillId="12" borderId="37" xfId="0" applyFont="1" applyFill="1" applyBorder="1" applyAlignment="1">
      <alignment horizontal="left"/>
    </xf>
    <xf numFmtId="0" fontId="16" fillId="12" borderId="0" xfId="0" applyFont="1" applyFill="1" applyAlignment="1">
      <alignment horizontal="left"/>
    </xf>
    <xf numFmtId="0" fontId="16" fillId="12" borderId="38" xfId="0" applyFont="1" applyFill="1" applyBorder="1" applyAlignment="1">
      <alignment horizontal="left"/>
    </xf>
    <xf numFmtId="0" fontId="2" fillId="12" borderId="37" xfId="0" applyFont="1" applyFill="1" applyBorder="1" applyAlignment="1">
      <alignment horizontal="left" wrapText="1"/>
    </xf>
    <xf numFmtId="0" fontId="2" fillId="12" borderId="0" xfId="0" applyFont="1" applyFill="1" applyAlignment="1">
      <alignment horizontal="left" wrapText="1"/>
    </xf>
    <xf numFmtId="0" fontId="2" fillId="12" borderId="38" xfId="0" applyFont="1" applyFill="1" applyBorder="1" applyAlignment="1">
      <alignment horizontal="left" wrapText="1"/>
    </xf>
    <xf numFmtId="0" fontId="2" fillId="12" borderId="39" xfId="0" applyFont="1" applyFill="1" applyBorder="1" applyAlignment="1">
      <alignment horizontal="left" wrapText="1"/>
    </xf>
    <xf numFmtId="0" fontId="2" fillId="12" borderId="33" xfId="0" applyFont="1" applyFill="1" applyBorder="1" applyAlignment="1">
      <alignment horizontal="left" wrapText="1"/>
    </xf>
    <xf numFmtId="0" fontId="2" fillId="12" borderId="40" xfId="0" applyFont="1" applyFill="1" applyBorder="1" applyAlignment="1">
      <alignment horizontal="left" wrapText="1"/>
    </xf>
    <xf numFmtId="0" fontId="16" fillId="13" borderId="37" xfId="0" applyFont="1" applyFill="1" applyBorder="1" applyAlignment="1">
      <alignment horizontal="left" wrapText="1"/>
    </xf>
    <xf numFmtId="0" fontId="16" fillId="13" borderId="0" xfId="0" applyFont="1" applyFill="1" applyAlignment="1">
      <alignment horizontal="left" wrapText="1"/>
    </xf>
    <xf numFmtId="0" fontId="16" fillId="13" borderId="38" xfId="0" applyFont="1" applyFill="1" applyBorder="1" applyAlignment="1">
      <alignment horizontal="left" wrapText="1"/>
    </xf>
    <xf numFmtId="0" fontId="16" fillId="13" borderId="37" xfId="0" applyFont="1" applyFill="1" applyBorder="1" applyAlignment="1">
      <alignment horizontal="left" vertical="top" wrapText="1"/>
    </xf>
    <xf numFmtId="0" fontId="16" fillId="13" borderId="0" xfId="0" applyFont="1" applyFill="1" applyAlignment="1">
      <alignment horizontal="left" vertical="top" wrapText="1"/>
    </xf>
    <xf numFmtId="0" fontId="16" fillId="13" borderId="38" xfId="0" applyFont="1" applyFill="1" applyBorder="1" applyAlignment="1">
      <alignment horizontal="left" vertical="top" wrapText="1"/>
    </xf>
    <xf numFmtId="0" fontId="16" fillId="13" borderId="39" xfId="0" applyFont="1" applyFill="1" applyBorder="1" applyAlignment="1">
      <alignment horizontal="left" vertical="top" wrapText="1"/>
    </xf>
    <xf numFmtId="0" fontId="16" fillId="13" borderId="33" xfId="0" applyFont="1" applyFill="1" applyBorder="1" applyAlignment="1">
      <alignment horizontal="left" vertical="top" wrapText="1"/>
    </xf>
    <xf numFmtId="0" fontId="16" fillId="13" borderId="40" xfId="0" applyFont="1" applyFill="1" applyBorder="1" applyAlignment="1">
      <alignment horizontal="left" vertical="top" wrapText="1"/>
    </xf>
    <xf numFmtId="0" fontId="16" fillId="13" borderId="39" xfId="0" applyFont="1" applyFill="1" applyBorder="1" applyAlignment="1">
      <alignment horizontal="left" wrapText="1"/>
    </xf>
    <xf numFmtId="0" fontId="16" fillId="13" borderId="33" xfId="0" applyFont="1" applyFill="1" applyBorder="1" applyAlignment="1">
      <alignment horizontal="left" wrapText="1"/>
    </xf>
    <xf numFmtId="0" fontId="16" fillId="13" borderId="40" xfId="0" applyFont="1" applyFill="1" applyBorder="1" applyAlignment="1">
      <alignment horizontal="left" wrapText="1"/>
    </xf>
    <xf numFmtId="0" fontId="16" fillId="12" borderId="37" xfId="0" applyFont="1" applyFill="1" applyBorder="1" applyAlignment="1">
      <alignment horizontal="left" vertical="top" wrapText="1"/>
    </xf>
    <xf numFmtId="0" fontId="16" fillId="12" borderId="0" xfId="0" applyFont="1" applyFill="1" applyAlignment="1">
      <alignment horizontal="left" vertical="top" wrapText="1"/>
    </xf>
    <xf numFmtId="0" fontId="16" fillId="12" borderId="38" xfId="0" applyFont="1" applyFill="1" applyBorder="1" applyAlignment="1">
      <alignment horizontal="left" vertical="top" wrapText="1"/>
    </xf>
    <xf numFmtId="0" fontId="16" fillId="12" borderId="39" xfId="0" applyFont="1" applyFill="1" applyBorder="1" applyAlignment="1">
      <alignment horizontal="left" vertical="top" wrapText="1"/>
    </xf>
    <xf numFmtId="0" fontId="16" fillId="12" borderId="33" xfId="0" applyFont="1" applyFill="1" applyBorder="1" applyAlignment="1">
      <alignment horizontal="left" vertical="top" wrapText="1"/>
    </xf>
    <xf numFmtId="0" fontId="16" fillId="12" borderId="40" xfId="0" applyFont="1" applyFill="1" applyBorder="1" applyAlignment="1">
      <alignment horizontal="left" vertical="top" wrapText="1"/>
    </xf>
    <xf numFmtId="0" fontId="17" fillId="12" borderId="34" xfId="0" applyFont="1" applyFill="1" applyBorder="1" applyAlignment="1">
      <alignment horizontal="left"/>
    </xf>
    <xf numFmtId="0" fontId="17" fillId="12" borderId="35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/>
    </xf>
    <xf numFmtId="0" fontId="16" fillId="12" borderId="37" xfId="0" applyFont="1" applyFill="1" applyBorder="1" applyAlignment="1">
      <alignment horizontal="left" wrapText="1"/>
    </xf>
    <xf numFmtId="0" fontId="16" fillId="12" borderId="0" xfId="0" applyFont="1" applyFill="1" applyAlignment="1">
      <alignment horizontal="left" wrapText="1"/>
    </xf>
    <xf numFmtId="0" fontId="16" fillId="12" borderId="38" xfId="0" applyFont="1" applyFill="1" applyBorder="1" applyAlignment="1">
      <alignment horizontal="left" wrapText="1"/>
    </xf>
    <xf numFmtId="0" fontId="17" fillId="12" borderId="34" xfId="0" applyFont="1" applyFill="1" applyBorder="1" applyAlignment="1">
      <alignment horizontal="left" vertical="top"/>
    </xf>
    <xf numFmtId="0" fontId="17" fillId="12" borderId="35" xfId="0" applyFont="1" applyFill="1" applyBorder="1" applyAlignment="1">
      <alignment horizontal="left" vertical="top"/>
    </xf>
    <xf numFmtId="0" fontId="17" fillId="12" borderId="36" xfId="0" applyFont="1" applyFill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</cellXfs>
  <cellStyles count="7">
    <cellStyle name="20% - Accent5" xfId="6" builtinId="46"/>
    <cellStyle name="Bad" xfId="5" builtinId="27"/>
    <cellStyle name="Good" xfId="3" builtinId="26"/>
    <cellStyle name="Heading 2" xfId="2" builtinId="17"/>
    <cellStyle name="Neutral" xfId="4" builtinId="28"/>
    <cellStyle name="Normal" xfId="0" builtinId="0"/>
    <cellStyle name="Per cent" xfId="1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3" formatCode="0%"/>
      <border diagonalUp="0" diagonalDown="0">
        <left style="thin">
          <color theme="2" tint="-0.499984740745262"/>
        </left>
        <right/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3" formatCode="0%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3" formatCode="0%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3" formatCode="0%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3" formatCode="0%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3" formatCode="0%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>
        <top style="thin">
          <color theme="2" tint="-0.499984740745262"/>
        </top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border>
        <bottom style="thin">
          <color theme="2" tint="-0.499984740745262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/>
        <bottom/>
        <vertical style="thin">
          <color theme="2" tint="-0.499984740745262"/>
        </vertical>
        <horizontal style="thin">
          <color theme="2" tint="-0.499984740745262"/>
        </horizontal>
      </border>
    </dxf>
  </dxfs>
  <tableStyles count="0" defaultTableStyle="TableStyleMedium2" defaultPivotStyle="PivotStyleLight16"/>
  <colors>
    <mruColors>
      <color rgb="FFFFECEC"/>
      <color rgb="FFFFD5E9"/>
      <color rgb="FFFFFCDB"/>
      <color rgb="FFDBECD2"/>
      <color rgb="FFFFF8E2"/>
      <color rgb="FFFDFFC5"/>
      <color rgb="FFFEFF86"/>
      <color rgb="FFD0ECC4"/>
      <color rgb="FFC6ECB1"/>
      <color rgb="FFA5E8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5C72A-65EB-A148-93CB-724508833069}" name="Table1" displayName="Table1" ref="A1:N35" totalsRowShown="0" headerRowDxfId="23" headerRowBorderDxfId="22" tableBorderDxfId="21" totalsRowBorderDxfId="20">
  <autoFilter ref="A1:N35" xr:uid="{3E75C72A-65EB-A148-93CB-724508833069}"/>
  <sortState xmlns:xlrd2="http://schemas.microsoft.com/office/spreadsheetml/2017/richdata2" ref="A2:N35">
    <sortCondition ref="A1:A35"/>
  </sortState>
  <tableColumns count="14">
    <tableColumn id="1" xr3:uid="{0AF5B1E1-DADA-4243-9495-414FDB404DD8}" name="Nr" dataDxfId="19"/>
    <tableColumn id="2" xr3:uid="{AF6A0F96-B77C-774D-9A17-C5CA4FD64CE0}" name="System" dataDxfId="18"/>
    <tableColumn id="17" xr3:uid="{BAFFEF1B-13BF-0741-ACC9-2B1A475DB70C}" name="Age group" dataDxfId="17"/>
    <tableColumn id="18" xr3:uid="{A28D53BE-B9B7-F147-8C0D-9E08E1EB760B}" name="Application domain" dataDxfId="16"/>
    <tableColumn id="3" xr3:uid="{FA02B445-0001-EA43-8133-1BBBDC5562C7}" name="User rating" dataDxfId="15"/>
    <tableColumn id="4" xr3:uid="{F89DB2A3-23C1-5A46-BC83-2D196A8DB5C4}" name="Rate number" dataDxfId="14">
      <calculatedColumnFormula>Duolingo!E36</calculatedColumnFormula>
    </tableColumn>
    <tableColumn id="5" xr3:uid="{A3D1BE89-D8A0-1E41-829A-066878ADF685}" name="Downloads" dataDxfId="13">
      <calculatedColumnFormula>'Pharmacy Crack  Rx Drug Trivia'!D4</calculatedColumnFormula>
    </tableColumn>
    <tableColumn id="6" xr3:uid="{0E82942C-C84E-FA49-BCBE-B08D2BE6DD12}" name="Popular rate (DoS)" dataDxfId="12">
      <calculatedColumnFormula>Duolingo!E40</calculatedColumnFormula>
    </tableColumn>
    <tableColumn id="7" xr3:uid="{F43DBB79-1826-8342-B2E6-8BCC218CB29B}" name="General Usability Recommendations (GUR)" dataDxfId="11">
      <calculatedColumnFormula>'Results by recommendation categ'!C7</calculatedColumnFormula>
    </tableColumn>
    <tableColumn id="8" xr3:uid="{16D3563B-E599-C649-9DFC-6B31E9FCF1C0}" name="Implemented Gamification Elements (IGE)" dataDxfId="10">
      <calculatedColumnFormula>'Results by recommendation categ'!C10</calculatedColumnFormula>
    </tableColumn>
    <tableColumn id="9" xr3:uid="{DFB08794-19EA-DA40-BC69-DA38FB1B0188}" name="Usability Recommendations for Recommended  Gamification Elements (URSIGE)" dataDxfId="9">
      <calculatedColumnFormula>'Results by recommendation categ'!C16</calculatedColumnFormula>
    </tableColumn>
    <tableColumn id="10" xr3:uid="{AFB8D45D-3C0A-284B-A0B8-39B0C59DDCC7}" name="Usability Recommendations for NOT Recommended  Gamification Elements (URUIGE)" dataDxfId="8">
      <calculatedColumnFormula>'Results by recommendation categ'!C22</calculatedColumnFormula>
    </tableColumn>
    <tableColumn id="11" xr3:uid="{CC6E93E4-0E6F-7C44-A3CD-17C4A9621280}" name="Overall" dataDxfId="7">
      <calculatedColumnFormula>AVERAGE(Table1[[#This Row],[General Usability Recommendations (GUR)]:[Usability Recommendations for NOT Recommended  Gamification Elements (URUIGE)]])</calculatedColumnFormula>
    </tableColumn>
    <tableColumn id="12" xr3:uid="{844BF0AB-0E13-C440-B58F-5B22C2FC77CB}" name="Elements recommendations (URGE)" dataDxfId="6">
      <calculatedColumnFormula>AVERAGE(Table1[[#This Row],[Usability Recommendations for Recommended  Gamification Elements (URSIGE)]:[Usability Recommendations for NOT Recommended  Gamification Elements (URUIGE)]])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9624-FA3A-6342-81D9-501100B5FC41}">
  <dimension ref="A1:AL49"/>
  <sheetViews>
    <sheetView tabSelected="1" topLeftCell="M1" zoomScale="113" workbookViewId="0">
      <selection activeCell="X13" sqref="X13"/>
    </sheetView>
  </sheetViews>
  <sheetFormatPr baseColWidth="10" defaultRowHeight="16" x14ac:dyDescent="0.2"/>
  <sheetData>
    <row r="1" spans="1:38" x14ac:dyDescent="0.2">
      <c r="A1" s="164" t="s">
        <v>171</v>
      </c>
      <c r="B1" s="165"/>
      <c r="C1" s="165"/>
      <c r="D1" s="165"/>
      <c r="E1" s="165"/>
      <c r="F1" s="165"/>
      <c r="G1" s="165"/>
      <c r="H1" s="165"/>
      <c r="I1" s="166"/>
      <c r="J1" s="7"/>
      <c r="K1" s="107" t="s">
        <v>201</v>
      </c>
      <c r="L1" s="98"/>
      <c r="M1" s="98"/>
      <c r="N1" s="98"/>
      <c r="O1" s="98"/>
      <c r="P1" s="98"/>
      <c r="Q1" s="98"/>
      <c r="R1" s="98"/>
      <c r="S1" s="99"/>
      <c r="U1" s="115" t="s">
        <v>216</v>
      </c>
      <c r="V1" s="110"/>
      <c r="W1" s="110"/>
      <c r="X1" s="110"/>
      <c r="Y1" s="110"/>
      <c r="Z1" s="110"/>
      <c r="AA1" s="110"/>
      <c r="AB1" s="110"/>
      <c r="AC1" s="111"/>
      <c r="AD1" s="109"/>
      <c r="AE1" s="109"/>
      <c r="AF1" s="109"/>
      <c r="AG1" s="109"/>
      <c r="AH1" s="109"/>
      <c r="AI1" s="109"/>
      <c r="AJ1" s="109"/>
      <c r="AK1" s="109"/>
      <c r="AL1" s="109"/>
    </row>
    <row r="2" spans="1:38" ht="18" customHeight="1" x14ac:dyDescent="0.2">
      <c r="A2" s="158" t="s">
        <v>170</v>
      </c>
      <c r="B2" s="159"/>
      <c r="C2" s="159"/>
      <c r="D2" s="159"/>
      <c r="E2" s="159"/>
      <c r="F2" s="159"/>
      <c r="G2" s="159"/>
      <c r="H2" s="159"/>
      <c r="I2" s="160"/>
      <c r="J2" s="7"/>
      <c r="K2" s="146" t="s">
        <v>202</v>
      </c>
      <c r="L2" s="147"/>
      <c r="M2" s="147"/>
      <c r="N2" s="147"/>
      <c r="O2" s="147"/>
      <c r="P2" s="147"/>
      <c r="Q2" s="147"/>
      <c r="R2" s="147"/>
      <c r="S2" s="148"/>
      <c r="U2" s="132" t="s">
        <v>233</v>
      </c>
      <c r="V2" s="133"/>
      <c r="W2" s="133"/>
      <c r="X2" s="133"/>
      <c r="Y2" s="133"/>
      <c r="Z2" s="133"/>
      <c r="AA2" s="133"/>
      <c r="AB2" s="133"/>
      <c r="AC2" s="134"/>
      <c r="AD2" s="109"/>
      <c r="AE2" s="109"/>
      <c r="AF2" s="109"/>
      <c r="AG2" s="109"/>
      <c r="AH2" s="109"/>
      <c r="AI2" s="109"/>
      <c r="AJ2" s="109"/>
      <c r="AK2" s="109"/>
      <c r="AL2" s="109"/>
    </row>
    <row r="3" spans="1:38" ht="16" customHeight="1" x14ac:dyDescent="0.2">
      <c r="A3" s="158"/>
      <c r="B3" s="159"/>
      <c r="C3" s="159"/>
      <c r="D3" s="159"/>
      <c r="E3" s="159"/>
      <c r="F3" s="159"/>
      <c r="G3" s="159"/>
      <c r="H3" s="159"/>
      <c r="I3" s="160"/>
      <c r="J3" s="7"/>
      <c r="K3" s="146"/>
      <c r="L3" s="147"/>
      <c r="M3" s="147"/>
      <c r="N3" s="147"/>
      <c r="O3" s="147"/>
      <c r="P3" s="147"/>
      <c r="Q3" s="147"/>
      <c r="R3" s="147"/>
      <c r="S3" s="148"/>
      <c r="U3" s="132"/>
      <c r="V3" s="133"/>
      <c r="W3" s="133"/>
      <c r="X3" s="133"/>
      <c r="Y3" s="133"/>
      <c r="Z3" s="133"/>
      <c r="AA3" s="133"/>
      <c r="AB3" s="133"/>
      <c r="AC3" s="134"/>
      <c r="AD3" s="109"/>
      <c r="AE3" s="109"/>
      <c r="AF3" s="109"/>
      <c r="AG3" s="109"/>
      <c r="AH3" s="109"/>
      <c r="AI3" s="109"/>
      <c r="AJ3" s="109"/>
      <c r="AK3" s="109"/>
      <c r="AL3" s="109"/>
    </row>
    <row r="4" spans="1:38" ht="16" customHeight="1" x14ac:dyDescent="0.2">
      <c r="A4" s="158"/>
      <c r="B4" s="159"/>
      <c r="C4" s="159"/>
      <c r="D4" s="159"/>
      <c r="E4" s="159"/>
      <c r="F4" s="159"/>
      <c r="G4" s="159"/>
      <c r="H4" s="159"/>
      <c r="I4" s="160"/>
      <c r="J4" s="7"/>
      <c r="K4" s="100" t="s">
        <v>203</v>
      </c>
      <c r="L4" s="101"/>
      <c r="M4" s="101"/>
      <c r="N4" s="101"/>
      <c r="O4" s="101"/>
      <c r="P4" s="101"/>
      <c r="Q4" s="101"/>
      <c r="R4" s="101"/>
      <c r="S4" s="102"/>
      <c r="U4" s="115" t="s">
        <v>217</v>
      </c>
      <c r="V4" s="110"/>
      <c r="W4" s="110"/>
      <c r="X4" s="110"/>
      <c r="Y4" s="110"/>
      <c r="Z4" s="110"/>
      <c r="AA4" s="110"/>
      <c r="AB4" s="110"/>
      <c r="AC4" s="111"/>
      <c r="AD4" s="109"/>
      <c r="AE4" s="109"/>
      <c r="AF4" s="109"/>
      <c r="AG4" s="109"/>
      <c r="AH4" s="109"/>
      <c r="AI4" s="109"/>
      <c r="AJ4" s="109"/>
      <c r="AK4" s="109"/>
      <c r="AL4" s="109"/>
    </row>
    <row r="5" spans="1:38" x14ac:dyDescent="0.2">
      <c r="A5" s="161"/>
      <c r="B5" s="162"/>
      <c r="C5" s="162"/>
      <c r="D5" s="162"/>
      <c r="E5" s="162"/>
      <c r="F5" s="162"/>
      <c r="G5" s="162"/>
      <c r="H5" s="162"/>
      <c r="I5" s="163"/>
      <c r="J5" s="7"/>
      <c r="K5" s="123" t="s">
        <v>230</v>
      </c>
      <c r="L5" s="103" t="s">
        <v>142</v>
      </c>
      <c r="M5" s="101"/>
      <c r="N5" s="101"/>
      <c r="O5" s="101"/>
      <c r="P5" s="101"/>
      <c r="Q5" s="101"/>
      <c r="R5" s="101"/>
      <c r="S5" s="102"/>
      <c r="U5" s="124" t="s">
        <v>230</v>
      </c>
      <c r="V5" s="114" t="s">
        <v>218</v>
      </c>
      <c r="W5" s="112"/>
      <c r="X5" s="112"/>
      <c r="Y5" s="112"/>
      <c r="Z5" s="112"/>
      <c r="AA5" s="112"/>
      <c r="AB5" s="112"/>
      <c r="AC5" s="113"/>
      <c r="AD5" s="109"/>
      <c r="AE5" s="109"/>
      <c r="AF5" s="109"/>
      <c r="AG5" s="109"/>
      <c r="AH5" s="109"/>
      <c r="AI5" s="109"/>
      <c r="AJ5" s="109"/>
      <c r="AK5" s="109"/>
      <c r="AL5" s="109"/>
    </row>
    <row r="6" spans="1:38" x14ac:dyDescent="0.2">
      <c r="A6" s="170" t="s">
        <v>172</v>
      </c>
      <c r="B6" s="171"/>
      <c r="C6" s="171"/>
      <c r="D6" s="171"/>
      <c r="E6" s="171"/>
      <c r="F6" s="171"/>
      <c r="G6" s="171"/>
      <c r="H6" s="171"/>
      <c r="I6" s="172"/>
      <c r="J6" s="7"/>
      <c r="K6" s="123" t="s">
        <v>230</v>
      </c>
      <c r="L6" s="103" t="s">
        <v>143</v>
      </c>
      <c r="M6" s="101"/>
      <c r="N6" s="101"/>
      <c r="O6" s="101"/>
      <c r="P6" s="101"/>
      <c r="Q6" s="101"/>
      <c r="R6" s="101"/>
      <c r="S6" s="102"/>
      <c r="U6" s="124" t="s">
        <v>230</v>
      </c>
      <c r="V6" s="116" t="s">
        <v>219</v>
      </c>
      <c r="W6" s="117"/>
      <c r="X6" s="117"/>
      <c r="Y6" s="117"/>
      <c r="Z6" s="117"/>
      <c r="AA6" s="117"/>
      <c r="AB6" s="117"/>
      <c r="AC6" s="118"/>
      <c r="AD6" s="109"/>
      <c r="AE6" s="109"/>
      <c r="AF6" s="109"/>
      <c r="AG6" s="109"/>
      <c r="AH6" s="109"/>
      <c r="AI6" s="109"/>
      <c r="AJ6" s="109"/>
      <c r="AK6" s="109"/>
      <c r="AL6" s="109"/>
    </row>
    <row r="7" spans="1:38" ht="19" customHeight="1" x14ac:dyDescent="0.2">
      <c r="A7" s="158" t="s">
        <v>173</v>
      </c>
      <c r="B7" s="159"/>
      <c r="C7" s="159"/>
      <c r="D7" s="159"/>
      <c r="E7" s="159"/>
      <c r="F7" s="159"/>
      <c r="G7" s="159"/>
      <c r="H7" s="159"/>
      <c r="I7" s="160"/>
      <c r="J7" s="7"/>
      <c r="K7" s="123" t="s">
        <v>230</v>
      </c>
      <c r="L7" s="103" t="s">
        <v>204</v>
      </c>
      <c r="M7" s="101"/>
      <c r="N7" s="101"/>
      <c r="O7" s="101"/>
      <c r="P7" s="101"/>
      <c r="Q7" s="101"/>
      <c r="R7" s="101"/>
      <c r="S7" s="102"/>
      <c r="U7" s="115" t="s">
        <v>220</v>
      </c>
      <c r="V7" s="110"/>
      <c r="W7" s="110"/>
      <c r="X7" s="110"/>
      <c r="Y7" s="110"/>
      <c r="Z7" s="110"/>
      <c r="AA7" s="110"/>
      <c r="AB7" s="110"/>
      <c r="AC7" s="111"/>
      <c r="AD7" s="109"/>
      <c r="AE7" s="109"/>
      <c r="AF7" s="109"/>
      <c r="AG7" s="109"/>
      <c r="AH7" s="109"/>
      <c r="AI7" s="109"/>
      <c r="AJ7" s="109"/>
      <c r="AK7" s="109"/>
      <c r="AL7" s="109"/>
    </row>
    <row r="8" spans="1:38" x14ac:dyDescent="0.2">
      <c r="A8" s="158"/>
      <c r="B8" s="159"/>
      <c r="C8" s="159"/>
      <c r="D8" s="159"/>
      <c r="E8" s="159"/>
      <c r="F8" s="159"/>
      <c r="G8" s="159"/>
      <c r="H8" s="159"/>
      <c r="I8" s="160"/>
      <c r="K8" s="123" t="s">
        <v>230</v>
      </c>
      <c r="L8" s="104" t="s">
        <v>205</v>
      </c>
      <c r="M8" s="105"/>
      <c r="N8" s="105"/>
      <c r="O8" s="105"/>
      <c r="P8" s="105"/>
      <c r="Q8" s="105"/>
      <c r="R8" s="105"/>
      <c r="S8" s="106"/>
      <c r="U8" s="124" t="s">
        <v>230</v>
      </c>
      <c r="V8" s="114" t="s">
        <v>234</v>
      </c>
      <c r="W8" s="112"/>
      <c r="X8" s="112"/>
      <c r="Y8" s="112"/>
      <c r="Z8" s="112"/>
      <c r="AA8" s="112"/>
      <c r="AB8" s="112"/>
      <c r="AC8" s="113"/>
      <c r="AD8" s="109"/>
      <c r="AE8" s="109"/>
      <c r="AF8" s="109"/>
      <c r="AG8" s="109"/>
      <c r="AH8" s="109"/>
      <c r="AI8" s="109"/>
      <c r="AJ8" s="109"/>
      <c r="AK8" s="109"/>
      <c r="AL8" s="109"/>
    </row>
    <row r="9" spans="1:38" x14ac:dyDescent="0.2">
      <c r="A9" s="137" t="s">
        <v>174</v>
      </c>
      <c r="B9" s="138"/>
      <c r="C9" s="138"/>
      <c r="D9" s="138"/>
      <c r="E9" s="138"/>
      <c r="F9" s="138"/>
      <c r="G9" s="138"/>
      <c r="H9" s="138"/>
      <c r="I9" s="139"/>
      <c r="J9" s="7"/>
      <c r="K9" s="107" t="s">
        <v>142</v>
      </c>
      <c r="L9" s="108"/>
      <c r="M9" s="108"/>
      <c r="N9" s="108"/>
      <c r="O9" s="98"/>
      <c r="P9" s="98"/>
      <c r="Q9" s="98"/>
      <c r="R9" s="98"/>
      <c r="S9" s="99"/>
      <c r="U9" s="124" t="s">
        <v>230</v>
      </c>
      <c r="V9" s="114" t="s">
        <v>235</v>
      </c>
      <c r="W9" s="112"/>
      <c r="X9" s="112"/>
      <c r="Y9" s="112"/>
      <c r="Z9" s="112"/>
      <c r="AA9" s="112"/>
      <c r="AB9" s="112"/>
      <c r="AC9" s="113"/>
      <c r="AD9" s="109"/>
      <c r="AE9" s="109"/>
      <c r="AF9" s="109"/>
      <c r="AG9" s="109"/>
      <c r="AH9" s="109"/>
      <c r="AI9" s="109"/>
      <c r="AJ9" s="109"/>
      <c r="AK9" s="109"/>
      <c r="AL9" s="109"/>
    </row>
    <row r="10" spans="1:38" x14ac:dyDescent="0.2">
      <c r="A10" s="122" t="s">
        <v>230</v>
      </c>
      <c r="B10" s="86" t="s">
        <v>151</v>
      </c>
      <c r="C10" s="85"/>
      <c r="D10" s="85"/>
      <c r="E10" s="85"/>
      <c r="F10" s="85"/>
      <c r="G10" s="85"/>
      <c r="H10" s="85"/>
      <c r="I10" s="89"/>
      <c r="J10" s="7"/>
      <c r="K10" s="100" t="s">
        <v>206</v>
      </c>
      <c r="L10" s="101"/>
      <c r="M10" s="101"/>
      <c r="N10" s="101"/>
      <c r="O10" s="101"/>
      <c r="P10" s="101"/>
      <c r="Q10" s="101"/>
      <c r="R10" s="101"/>
      <c r="S10" s="102"/>
      <c r="U10" s="124" t="s">
        <v>230</v>
      </c>
      <c r="V10" s="114" t="s">
        <v>221</v>
      </c>
      <c r="W10" s="112"/>
      <c r="X10" s="112"/>
      <c r="Y10" s="112"/>
      <c r="Z10" s="112"/>
      <c r="AA10" s="112"/>
      <c r="AB10" s="112"/>
      <c r="AC10" s="113"/>
      <c r="AD10" s="109"/>
      <c r="AE10" s="109"/>
      <c r="AF10" s="109"/>
      <c r="AG10" s="109"/>
      <c r="AH10" s="109"/>
      <c r="AI10" s="109"/>
      <c r="AJ10" s="109"/>
      <c r="AK10" s="109"/>
      <c r="AL10" s="109"/>
    </row>
    <row r="11" spans="1:38" x14ac:dyDescent="0.2">
      <c r="A11" s="122" t="s">
        <v>230</v>
      </c>
      <c r="B11" s="86" t="s">
        <v>152</v>
      </c>
      <c r="C11" s="85"/>
      <c r="D11" s="85"/>
      <c r="E11" s="85"/>
      <c r="F11" s="85"/>
      <c r="G11" s="85"/>
      <c r="H11" s="85"/>
      <c r="I11" s="89"/>
      <c r="J11" s="7"/>
      <c r="K11" s="100" t="s">
        <v>207</v>
      </c>
      <c r="L11" s="101"/>
      <c r="M11" s="101"/>
      <c r="N11" s="101"/>
      <c r="O11" s="101"/>
      <c r="P11" s="101"/>
      <c r="Q11" s="101"/>
      <c r="R11" s="101"/>
      <c r="S11" s="102"/>
      <c r="U11" s="124" t="s">
        <v>230</v>
      </c>
      <c r="V11" s="126" t="s">
        <v>222</v>
      </c>
      <c r="W11" s="126"/>
      <c r="X11" s="126"/>
      <c r="Y11" s="126"/>
      <c r="Z11" s="126"/>
      <c r="AA11" s="126"/>
      <c r="AB11" s="126"/>
      <c r="AC11" s="127"/>
      <c r="AD11" s="109"/>
      <c r="AE11" s="109"/>
      <c r="AF11" s="109"/>
      <c r="AG11" s="109"/>
      <c r="AH11" s="109"/>
      <c r="AI11" s="109"/>
      <c r="AJ11" s="109"/>
      <c r="AK11" s="109"/>
      <c r="AL11" s="109"/>
    </row>
    <row r="12" spans="1:38" x14ac:dyDescent="0.2">
      <c r="A12" s="122" t="s">
        <v>230</v>
      </c>
      <c r="B12" s="86" t="s">
        <v>153</v>
      </c>
      <c r="C12" s="85"/>
      <c r="D12" s="85"/>
      <c r="E12" s="85"/>
      <c r="F12" s="85"/>
      <c r="G12" s="85"/>
      <c r="H12" s="85"/>
      <c r="I12" s="89"/>
      <c r="J12" s="7"/>
      <c r="K12" s="123" t="s">
        <v>230</v>
      </c>
      <c r="L12" s="103" t="s">
        <v>181</v>
      </c>
      <c r="M12" s="101"/>
      <c r="N12" s="101"/>
      <c r="O12" s="101"/>
      <c r="P12" s="101"/>
      <c r="Q12" s="101"/>
      <c r="R12" s="101"/>
      <c r="S12" s="102"/>
      <c r="U12" s="124"/>
      <c r="V12" s="135"/>
      <c r="W12" s="135"/>
      <c r="X12" s="135"/>
      <c r="Y12" s="135"/>
      <c r="Z12" s="135"/>
      <c r="AA12" s="135"/>
      <c r="AB12" s="135"/>
      <c r="AC12" s="136"/>
      <c r="AD12" s="109"/>
      <c r="AE12" s="109"/>
      <c r="AF12" s="109"/>
      <c r="AG12" s="109"/>
      <c r="AH12" s="109"/>
      <c r="AI12" s="109"/>
      <c r="AJ12" s="109"/>
      <c r="AK12" s="109"/>
      <c r="AL12" s="109"/>
    </row>
    <row r="13" spans="1:38" x14ac:dyDescent="0.2">
      <c r="A13" s="137" t="s">
        <v>175</v>
      </c>
      <c r="B13" s="138"/>
      <c r="C13" s="138"/>
      <c r="D13" s="138"/>
      <c r="E13" s="138"/>
      <c r="F13" s="138"/>
      <c r="G13" s="138"/>
      <c r="H13" s="138"/>
      <c r="I13" s="139"/>
      <c r="J13" s="7"/>
      <c r="K13" s="123" t="s">
        <v>230</v>
      </c>
      <c r="L13" s="103" t="s">
        <v>148</v>
      </c>
      <c r="M13" s="101"/>
      <c r="N13" s="101"/>
      <c r="O13" s="101"/>
      <c r="P13" s="101"/>
      <c r="Q13" s="101"/>
      <c r="R13" s="101"/>
      <c r="S13" s="102"/>
      <c r="U13" s="115" t="s">
        <v>223</v>
      </c>
      <c r="V13" s="110"/>
      <c r="W13" s="110"/>
      <c r="X13" s="110"/>
      <c r="Y13" s="110"/>
      <c r="Z13" s="110"/>
      <c r="AA13" s="110"/>
      <c r="AB13" s="110"/>
      <c r="AC13" s="111"/>
      <c r="AD13" s="109"/>
      <c r="AE13" s="109"/>
      <c r="AF13" s="109"/>
      <c r="AG13" s="109"/>
      <c r="AH13" s="109"/>
      <c r="AI13" s="109"/>
      <c r="AJ13" s="109"/>
      <c r="AK13" s="109"/>
      <c r="AL13" s="109"/>
    </row>
    <row r="14" spans="1:38" x14ac:dyDescent="0.2">
      <c r="A14" s="122" t="s">
        <v>230</v>
      </c>
      <c r="B14" s="86" t="s">
        <v>176</v>
      </c>
      <c r="C14" s="85"/>
      <c r="D14" s="85"/>
      <c r="E14" s="85"/>
      <c r="F14" s="85"/>
      <c r="G14" s="85"/>
      <c r="H14" s="85"/>
      <c r="I14" s="89"/>
      <c r="J14" s="7"/>
      <c r="K14" s="123" t="s">
        <v>230</v>
      </c>
      <c r="L14" s="103" t="s">
        <v>149</v>
      </c>
      <c r="M14" s="101"/>
      <c r="N14" s="101"/>
      <c r="O14" s="101"/>
      <c r="P14" s="101"/>
      <c r="Q14" s="101"/>
      <c r="R14" s="101"/>
      <c r="S14" s="102"/>
      <c r="U14" s="124" t="s">
        <v>230</v>
      </c>
      <c r="V14" s="126" t="s">
        <v>224</v>
      </c>
      <c r="W14" s="126"/>
      <c r="X14" s="126"/>
      <c r="Y14" s="126"/>
      <c r="Z14" s="126"/>
      <c r="AA14" s="126"/>
      <c r="AB14" s="126"/>
      <c r="AC14" s="127"/>
      <c r="AD14" s="109"/>
      <c r="AE14" s="109"/>
      <c r="AF14" s="109"/>
      <c r="AG14" s="109"/>
      <c r="AH14" s="109"/>
      <c r="AI14" s="109"/>
      <c r="AJ14" s="109"/>
      <c r="AK14" s="109"/>
      <c r="AL14" s="109"/>
    </row>
    <row r="15" spans="1:38" x14ac:dyDescent="0.2">
      <c r="A15" s="122" t="s">
        <v>230</v>
      </c>
      <c r="B15" s="86" t="s">
        <v>177</v>
      </c>
      <c r="C15" s="85"/>
      <c r="D15" s="85"/>
      <c r="E15" s="85"/>
      <c r="F15" s="85"/>
      <c r="G15" s="85"/>
      <c r="H15" s="85"/>
      <c r="I15" s="89"/>
      <c r="J15" s="7"/>
      <c r="K15" s="123" t="s">
        <v>230</v>
      </c>
      <c r="L15" s="103" t="s">
        <v>150</v>
      </c>
      <c r="M15" s="101"/>
      <c r="N15" s="101"/>
      <c r="O15" s="101"/>
      <c r="P15" s="101"/>
      <c r="Q15" s="101"/>
      <c r="R15" s="101"/>
      <c r="S15" s="102"/>
      <c r="U15" s="124"/>
      <c r="V15" s="126"/>
      <c r="W15" s="126"/>
      <c r="X15" s="126"/>
      <c r="Y15" s="126"/>
      <c r="Z15" s="126"/>
      <c r="AA15" s="126"/>
      <c r="AB15" s="126"/>
      <c r="AC15" s="127"/>
      <c r="AD15" s="109"/>
      <c r="AE15" s="109"/>
      <c r="AF15" s="109"/>
      <c r="AG15" s="109"/>
      <c r="AH15" s="109"/>
      <c r="AI15" s="109"/>
      <c r="AJ15" s="109"/>
      <c r="AK15" s="109"/>
      <c r="AL15" s="109"/>
    </row>
    <row r="16" spans="1:38" x14ac:dyDescent="0.2">
      <c r="A16" s="122" t="s">
        <v>230</v>
      </c>
      <c r="B16" s="86" t="s">
        <v>178</v>
      </c>
      <c r="C16" s="85"/>
      <c r="D16" s="85"/>
      <c r="E16" s="85"/>
      <c r="F16" s="85"/>
      <c r="G16" s="85"/>
      <c r="H16" s="85"/>
      <c r="I16" s="89"/>
      <c r="J16" s="7"/>
      <c r="K16" s="123" t="s">
        <v>230</v>
      </c>
      <c r="L16" s="103" t="s">
        <v>208</v>
      </c>
      <c r="M16" s="101"/>
      <c r="N16" s="101"/>
      <c r="O16" s="101"/>
      <c r="P16" s="101"/>
      <c r="Q16" s="101"/>
      <c r="R16" s="101"/>
      <c r="S16" s="102"/>
      <c r="U16" s="124" t="s">
        <v>230</v>
      </c>
      <c r="V16" s="126" t="s">
        <v>225</v>
      </c>
      <c r="W16" s="126"/>
      <c r="X16" s="126"/>
      <c r="Y16" s="126"/>
      <c r="Z16" s="126"/>
      <c r="AA16" s="126"/>
      <c r="AB16" s="126"/>
      <c r="AC16" s="127"/>
      <c r="AD16" s="109"/>
      <c r="AE16" s="109"/>
      <c r="AF16" s="109"/>
      <c r="AG16" s="109"/>
      <c r="AH16" s="109"/>
      <c r="AI16" s="109"/>
      <c r="AJ16" s="109"/>
      <c r="AK16" s="109"/>
      <c r="AL16" s="109"/>
    </row>
    <row r="17" spans="1:38" x14ac:dyDescent="0.2">
      <c r="A17" s="122" t="s">
        <v>230</v>
      </c>
      <c r="B17" s="86" t="s">
        <v>231</v>
      </c>
      <c r="C17" s="85"/>
      <c r="D17" s="85"/>
      <c r="E17" s="85"/>
      <c r="F17" s="85"/>
      <c r="G17" s="85"/>
      <c r="H17" s="85"/>
      <c r="I17" s="89"/>
      <c r="J17" s="7"/>
      <c r="K17" s="123" t="s">
        <v>230</v>
      </c>
      <c r="L17" s="104" t="s">
        <v>157</v>
      </c>
      <c r="M17" s="105"/>
      <c r="N17" s="105"/>
      <c r="O17" s="105"/>
      <c r="P17" s="105"/>
      <c r="Q17" s="105"/>
      <c r="R17" s="105"/>
      <c r="S17" s="106"/>
      <c r="U17" s="124"/>
      <c r="V17" s="126"/>
      <c r="W17" s="126"/>
      <c r="X17" s="126"/>
      <c r="Y17" s="126"/>
      <c r="Z17" s="126"/>
      <c r="AA17" s="126"/>
      <c r="AB17" s="126"/>
      <c r="AC17" s="127"/>
      <c r="AD17" s="109"/>
      <c r="AE17" s="109"/>
      <c r="AF17" s="109"/>
      <c r="AG17" s="109"/>
      <c r="AH17" s="109"/>
      <c r="AI17" s="109"/>
      <c r="AJ17" s="109"/>
      <c r="AK17" s="109"/>
      <c r="AL17" s="109"/>
    </row>
    <row r="18" spans="1:38" x14ac:dyDescent="0.2">
      <c r="A18" s="137" t="s">
        <v>179</v>
      </c>
      <c r="B18" s="138"/>
      <c r="C18" s="138"/>
      <c r="D18" s="138"/>
      <c r="E18" s="138"/>
      <c r="F18" s="138"/>
      <c r="G18" s="138"/>
      <c r="H18" s="138"/>
      <c r="I18" s="139"/>
      <c r="J18" s="7"/>
      <c r="K18" s="107" t="s">
        <v>143</v>
      </c>
      <c r="L18" s="108"/>
      <c r="M18" s="108"/>
      <c r="N18" s="108"/>
      <c r="O18" s="98"/>
      <c r="P18" s="98"/>
      <c r="Q18" s="98"/>
      <c r="R18" s="98"/>
      <c r="S18" s="99"/>
      <c r="U18" s="124" t="s">
        <v>230</v>
      </c>
      <c r="V18" s="126" t="s">
        <v>226</v>
      </c>
      <c r="W18" s="126"/>
      <c r="X18" s="126"/>
      <c r="Y18" s="126"/>
      <c r="Z18" s="126"/>
      <c r="AA18" s="126"/>
      <c r="AB18" s="126"/>
      <c r="AC18" s="127"/>
      <c r="AD18" s="109"/>
      <c r="AE18" s="109"/>
      <c r="AF18" s="109"/>
      <c r="AG18" s="109"/>
      <c r="AH18" s="109"/>
      <c r="AI18" s="109"/>
      <c r="AJ18" s="109"/>
      <c r="AK18" s="109"/>
      <c r="AL18" s="109"/>
    </row>
    <row r="19" spans="1:38" x14ac:dyDescent="0.2">
      <c r="A19" s="137" t="s">
        <v>180</v>
      </c>
      <c r="B19" s="138"/>
      <c r="C19" s="138"/>
      <c r="D19" s="138"/>
      <c r="E19" s="138"/>
      <c r="F19" s="138"/>
      <c r="G19" s="138"/>
      <c r="H19" s="138"/>
      <c r="I19" s="139"/>
      <c r="J19" s="7"/>
      <c r="K19" s="100" t="s">
        <v>209</v>
      </c>
      <c r="L19" s="101"/>
      <c r="M19" s="101"/>
      <c r="N19" s="101"/>
      <c r="O19" s="101"/>
      <c r="P19" s="101"/>
      <c r="Q19" s="101"/>
      <c r="R19" s="101"/>
      <c r="S19" s="102"/>
      <c r="U19" s="124"/>
      <c r="V19" s="126"/>
      <c r="W19" s="126"/>
      <c r="X19" s="126"/>
      <c r="Y19" s="126"/>
      <c r="Z19" s="126"/>
      <c r="AA19" s="126"/>
      <c r="AB19" s="126"/>
      <c r="AC19" s="127"/>
      <c r="AD19" s="109"/>
      <c r="AE19" s="109"/>
      <c r="AF19" s="109"/>
      <c r="AG19" s="109"/>
      <c r="AH19" s="109"/>
      <c r="AI19" s="109"/>
      <c r="AJ19" s="109"/>
      <c r="AK19" s="109"/>
      <c r="AL19" s="109"/>
    </row>
    <row r="20" spans="1:38" ht="16" customHeight="1" x14ac:dyDescent="0.2">
      <c r="A20" s="122" t="s">
        <v>230</v>
      </c>
      <c r="B20" s="86" t="s">
        <v>181</v>
      </c>
      <c r="C20" s="85"/>
      <c r="D20" s="85"/>
      <c r="E20" s="85"/>
      <c r="F20" s="85"/>
      <c r="G20" s="85"/>
      <c r="H20" s="85"/>
      <c r="I20" s="89"/>
      <c r="J20" s="7"/>
      <c r="K20" s="100" t="s">
        <v>207</v>
      </c>
      <c r="L20" s="101"/>
      <c r="M20" s="101"/>
      <c r="N20" s="101"/>
      <c r="O20" s="101"/>
      <c r="P20" s="101"/>
      <c r="Q20" s="101"/>
      <c r="R20" s="101"/>
      <c r="S20" s="102"/>
      <c r="U20" s="124" t="s">
        <v>230</v>
      </c>
      <c r="V20" s="126" t="s">
        <v>227</v>
      </c>
      <c r="W20" s="126"/>
      <c r="X20" s="126"/>
      <c r="Y20" s="126"/>
      <c r="Z20" s="126"/>
      <c r="AA20" s="126"/>
      <c r="AB20" s="126"/>
      <c r="AC20" s="127"/>
      <c r="AD20" s="109"/>
      <c r="AE20" s="109"/>
      <c r="AF20" s="109"/>
      <c r="AG20" s="109"/>
      <c r="AH20" s="109"/>
      <c r="AI20" s="109"/>
      <c r="AJ20" s="109"/>
      <c r="AK20" s="109"/>
      <c r="AL20" s="109"/>
    </row>
    <row r="21" spans="1:38" x14ac:dyDescent="0.2">
      <c r="A21" s="122" t="s">
        <v>230</v>
      </c>
      <c r="B21" s="86" t="s">
        <v>182</v>
      </c>
      <c r="C21" s="85"/>
      <c r="D21" s="85"/>
      <c r="E21" s="85"/>
      <c r="F21" s="85"/>
      <c r="G21" s="85"/>
      <c r="H21" s="85"/>
      <c r="I21" s="89"/>
      <c r="J21" s="7"/>
      <c r="K21" s="123" t="s">
        <v>230</v>
      </c>
      <c r="L21" s="103" t="s">
        <v>48</v>
      </c>
      <c r="M21" s="101"/>
      <c r="N21" s="101"/>
      <c r="O21" s="101"/>
      <c r="P21" s="101"/>
      <c r="Q21" s="101"/>
      <c r="R21" s="101"/>
      <c r="S21" s="102"/>
      <c r="U21" s="124"/>
      <c r="V21" s="126"/>
      <c r="W21" s="126"/>
      <c r="X21" s="126"/>
      <c r="Y21" s="126"/>
      <c r="Z21" s="126"/>
      <c r="AA21" s="126"/>
      <c r="AB21" s="126"/>
      <c r="AC21" s="127"/>
      <c r="AD21" s="109"/>
      <c r="AE21" s="109"/>
      <c r="AF21" s="109"/>
      <c r="AG21" s="109"/>
      <c r="AH21" s="109"/>
      <c r="AI21" s="109"/>
      <c r="AJ21" s="109"/>
      <c r="AK21" s="109"/>
      <c r="AL21" s="109"/>
    </row>
    <row r="22" spans="1:38" x14ac:dyDescent="0.2">
      <c r="A22" s="122" t="s">
        <v>230</v>
      </c>
      <c r="B22" s="86" t="s">
        <v>183</v>
      </c>
      <c r="C22" s="85"/>
      <c r="D22" s="85"/>
      <c r="E22" s="85"/>
      <c r="F22" s="85" t="s">
        <v>232</v>
      </c>
      <c r="G22" s="85"/>
      <c r="H22" s="85"/>
      <c r="I22" s="89"/>
      <c r="J22" s="7"/>
      <c r="K22" s="123" t="s">
        <v>230</v>
      </c>
      <c r="L22" s="103" t="s">
        <v>210</v>
      </c>
      <c r="M22" s="101"/>
      <c r="N22" s="101"/>
      <c r="O22" s="101"/>
      <c r="P22" s="101"/>
      <c r="Q22" s="101"/>
      <c r="R22" s="101"/>
      <c r="S22" s="102"/>
      <c r="U22" s="124"/>
      <c r="V22" s="126"/>
      <c r="W22" s="126"/>
      <c r="X22" s="126"/>
      <c r="Y22" s="126"/>
      <c r="Z22" s="126"/>
      <c r="AA22" s="126"/>
      <c r="AB22" s="126"/>
      <c r="AC22" s="127"/>
      <c r="AD22" s="109"/>
      <c r="AE22" s="109"/>
      <c r="AF22" s="109"/>
      <c r="AG22" s="109"/>
      <c r="AH22" s="109"/>
      <c r="AI22" s="109"/>
      <c r="AJ22" s="109"/>
      <c r="AK22" s="109"/>
      <c r="AL22" s="109"/>
    </row>
    <row r="23" spans="1:38" ht="16" customHeight="1" x14ac:dyDescent="0.2">
      <c r="A23" s="122" t="s">
        <v>230</v>
      </c>
      <c r="B23" s="86" t="s">
        <v>184</v>
      </c>
      <c r="C23" s="85"/>
      <c r="D23" s="85"/>
      <c r="E23" s="85"/>
      <c r="F23" s="85"/>
      <c r="G23" s="85"/>
      <c r="H23" s="85"/>
      <c r="I23" s="89"/>
      <c r="J23" s="7"/>
      <c r="K23" s="123" t="s">
        <v>230</v>
      </c>
      <c r="L23" s="104" t="s">
        <v>211</v>
      </c>
      <c r="M23" s="105"/>
      <c r="N23" s="105"/>
      <c r="O23" s="105"/>
      <c r="P23" s="105"/>
      <c r="Q23" s="105"/>
      <c r="R23" s="105"/>
      <c r="S23" s="106"/>
      <c r="U23" s="124" t="s">
        <v>230</v>
      </c>
      <c r="V23" s="114" t="s">
        <v>228</v>
      </c>
      <c r="W23" s="119"/>
      <c r="X23" s="119"/>
      <c r="Y23" s="119"/>
      <c r="Z23" s="119"/>
      <c r="AA23" s="119"/>
      <c r="AB23" s="119"/>
      <c r="AC23" s="121"/>
      <c r="AD23" s="109"/>
      <c r="AE23" s="109"/>
      <c r="AF23" s="109"/>
      <c r="AG23" s="109"/>
      <c r="AH23" s="109"/>
      <c r="AI23" s="109"/>
      <c r="AJ23" s="109"/>
      <c r="AK23" s="109"/>
      <c r="AL23" s="109"/>
    </row>
    <row r="24" spans="1:38" x14ac:dyDescent="0.2">
      <c r="A24" s="122" t="s">
        <v>230</v>
      </c>
      <c r="B24" s="88" t="s">
        <v>185</v>
      </c>
      <c r="C24" s="87"/>
      <c r="D24" s="87"/>
      <c r="E24" s="87"/>
      <c r="F24" s="87"/>
      <c r="G24" s="87"/>
      <c r="H24" s="87"/>
      <c r="I24" s="90"/>
      <c r="J24" s="7"/>
      <c r="K24" s="107" t="s">
        <v>212</v>
      </c>
      <c r="L24" s="108"/>
      <c r="M24" s="108"/>
      <c r="N24" s="108"/>
      <c r="O24" s="108"/>
      <c r="P24" s="108"/>
      <c r="Q24" s="98"/>
      <c r="R24" s="98"/>
      <c r="S24" s="99"/>
      <c r="U24" s="124" t="s">
        <v>230</v>
      </c>
      <c r="V24" s="128" t="s">
        <v>229</v>
      </c>
      <c r="W24" s="128"/>
      <c r="X24" s="128"/>
      <c r="Y24" s="128"/>
      <c r="Z24" s="128"/>
      <c r="AA24" s="128"/>
      <c r="AB24" s="128"/>
      <c r="AC24" s="129"/>
    </row>
    <row r="25" spans="1:38" ht="19" customHeight="1" x14ac:dyDescent="0.2">
      <c r="A25" s="170" t="s">
        <v>186</v>
      </c>
      <c r="B25" s="171"/>
      <c r="C25" s="171"/>
      <c r="D25" s="171"/>
      <c r="E25" s="171"/>
      <c r="F25" s="171"/>
      <c r="G25" s="171"/>
      <c r="H25" s="171"/>
      <c r="I25" s="172"/>
      <c r="J25" s="7"/>
      <c r="K25" s="149" t="s">
        <v>214</v>
      </c>
      <c r="L25" s="150"/>
      <c r="M25" s="150"/>
      <c r="N25" s="150"/>
      <c r="O25" s="150"/>
      <c r="P25" s="150"/>
      <c r="Q25" s="150"/>
      <c r="R25" s="150"/>
      <c r="S25" s="151"/>
      <c r="U25" s="125"/>
      <c r="V25" s="130"/>
      <c r="W25" s="130"/>
      <c r="X25" s="130"/>
      <c r="Y25" s="130"/>
      <c r="Z25" s="130"/>
      <c r="AA25" s="130"/>
      <c r="AB25" s="130"/>
      <c r="AC25" s="131"/>
    </row>
    <row r="26" spans="1:38" ht="18" customHeight="1" x14ac:dyDescent="0.2">
      <c r="A26" s="167" t="s">
        <v>187</v>
      </c>
      <c r="B26" s="168"/>
      <c r="C26" s="168"/>
      <c r="D26" s="168"/>
      <c r="E26" s="168"/>
      <c r="F26" s="168"/>
      <c r="G26" s="168"/>
      <c r="H26" s="168"/>
      <c r="I26" s="169"/>
      <c r="J26" s="7"/>
      <c r="K26" s="149"/>
      <c r="L26" s="150"/>
      <c r="M26" s="150"/>
      <c r="N26" s="150"/>
      <c r="O26" s="150"/>
      <c r="P26" s="150"/>
      <c r="Q26" s="150"/>
      <c r="R26" s="150"/>
      <c r="S26" s="151"/>
      <c r="V26" s="120"/>
      <c r="W26" s="120"/>
      <c r="X26" s="120"/>
      <c r="Y26" s="120"/>
      <c r="Z26" s="120"/>
      <c r="AA26" s="120"/>
      <c r="AB26" s="120"/>
      <c r="AC26" s="120"/>
    </row>
    <row r="27" spans="1:38" x14ac:dyDescent="0.2">
      <c r="A27" s="167"/>
      <c r="B27" s="168"/>
      <c r="C27" s="168"/>
      <c r="D27" s="168"/>
      <c r="E27" s="168"/>
      <c r="F27" s="168"/>
      <c r="G27" s="168"/>
      <c r="H27" s="168"/>
      <c r="I27" s="169"/>
      <c r="K27" s="152"/>
      <c r="L27" s="153"/>
      <c r="M27" s="153"/>
      <c r="N27" s="153"/>
      <c r="O27" s="153"/>
      <c r="P27" s="153"/>
      <c r="Q27" s="153"/>
      <c r="R27" s="153"/>
      <c r="S27" s="154"/>
    </row>
    <row r="28" spans="1:38" x14ac:dyDescent="0.2">
      <c r="A28" s="137" t="s">
        <v>188</v>
      </c>
      <c r="B28" s="138"/>
      <c r="C28" s="138"/>
      <c r="D28" s="138"/>
      <c r="E28" s="138"/>
      <c r="F28" s="138"/>
      <c r="G28" s="138"/>
      <c r="H28" s="138"/>
      <c r="I28" s="139"/>
      <c r="K28" s="107" t="s">
        <v>213</v>
      </c>
      <c r="L28" s="108"/>
      <c r="M28" s="108"/>
      <c r="N28" s="108"/>
      <c r="O28" s="108"/>
      <c r="P28" s="108"/>
      <c r="Q28" s="98"/>
      <c r="R28" s="98"/>
      <c r="S28" s="99"/>
    </row>
    <row r="29" spans="1:38" ht="18" customHeight="1" x14ac:dyDescent="0.2">
      <c r="A29" s="122" t="s">
        <v>230</v>
      </c>
      <c r="B29" s="86" t="s">
        <v>151</v>
      </c>
      <c r="C29" s="85"/>
      <c r="D29" s="85"/>
      <c r="E29" s="85"/>
      <c r="F29" s="85"/>
      <c r="G29" s="85"/>
      <c r="H29" s="85"/>
      <c r="I29" s="89"/>
      <c r="K29" s="146" t="s">
        <v>215</v>
      </c>
      <c r="L29" s="147"/>
      <c r="M29" s="147"/>
      <c r="N29" s="147"/>
      <c r="O29" s="147"/>
      <c r="P29" s="147"/>
      <c r="Q29" s="147"/>
      <c r="R29" s="147"/>
      <c r="S29" s="148"/>
    </row>
    <row r="30" spans="1:38" x14ac:dyDescent="0.2">
      <c r="A30" s="122" t="s">
        <v>230</v>
      </c>
      <c r="B30" s="86" t="s">
        <v>152</v>
      </c>
      <c r="C30" s="85"/>
      <c r="D30" s="85"/>
      <c r="E30" s="85"/>
      <c r="F30" s="85"/>
      <c r="G30" s="85"/>
      <c r="H30" s="85"/>
      <c r="I30" s="89"/>
      <c r="K30" s="146"/>
      <c r="L30" s="147"/>
      <c r="M30" s="147"/>
      <c r="N30" s="147"/>
      <c r="O30" s="147"/>
      <c r="P30" s="147"/>
      <c r="Q30" s="147"/>
      <c r="R30" s="147"/>
      <c r="S30" s="148"/>
    </row>
    <row r="31" spans="1:38" x14ac:dyDescent="0.2">
      <c r="A31" s="122" t="s">
        <v>230</v>
      </c>
      <c r="B31" s="86" t="s">
        <v>153</v>
      </c>
      <c r="C31" s="85"/>
      <c r="D31" s="85"/>
      <c r="E31" s="85"/>
      <c r="F31" s="85"/>
      <c r="G31" s="85"/>
      <c r="H31" s="85"/>
      <c r="I31" s="89"/>
      <c r="K31" s="146"/>
      <c r="L31" s="147"/>
      <c r="M31" s="147"/>
      <c r="N31" s="147"/>
      <c r="O31" s="147"/>
      <c r="P31" s="147"/>
      <c r="Q31" s="147"/>
      <c r="R31" s="147"/>
      <c r="S31" s="148"/>
    </row>
    <row r="32" spans="1:38" x14ac:dyDescent="0.2">
      <c r="A32" s="137" t="s">
        <v>189</v>
      </c>
      <c r="B32" s="138"/>
      <c r="C32" s="138"/>
      <c r="D32" s="138"/>
      <c r="E32" s="138"/>
      <c r="F32" s="138"/>
      <c r="G32" s="138"/>
      <c r="H32" s="138"/>
      <c r="I32" s="139"/>
      <c r="K32" s="155"/>
      <c r="L32" s="156"/>
      <c r="M32" s="156"/>
      <c r="N32" s="156"/>
      <c r="O32" s="156"/>
      <c r="P32" s="156"/>
      <c r="Q32" s="156"/>
      <c r="R32" s="156"/>
      <c r="S32" s="157"/>
    </row>
    <row r="33" spans="1:9" x14ac:dyDescent="0.2">
      <c r="A33" s="122" t="s">
        <v>230</v>
      </c>
      <c r="B33" s="86" t="s">
        <v>190</v>
      </c>
      <c r="C33" s="85"/>
      <c r="D33" s="85"/>
      <c r="E33" s="85"/>
      <c r="F33" s="85"/>
      <c r="G33" s="85"/>
      <c r="H33" s="85"/>
      <c r="I33" s="89"/>
    </row>
    <row r="34" spans="1:9" x14ac:dyDescent="0.2">
      <c r="A34" s="122" t="s">
        <v>230</v>
      </c>
      <c r="B34" s="86" t="s">
        <v>191</v>
      </c>
      <c r="C34" s="85"/>
      <c r="D34" s="85"/>
      <c r="E34" s="85"/>
      <c r="F34" s="85"/>
      <c r="G34" s="85"/>
      <c r="H34" s="85"/>
      <c r="I34" s="89"/>
    </row>
    <row r="35" spans="1:9" x14ac:dyDescent="0.2">
      <c r="A35" s="137" t="s">
        <v>192</v>
      </c>
      <c r="B35" s="138"/>
      <c r="C35" s="138"/>
      <c r="D35" s="138"/>
      <c r="E35" s="138"/>
      <c r="F35" s="138"/>
      <c r="G35" s="138"/>
      <c r="H35" s="138"/>
      <c r="I35" s="139"/>
    </row>
    <row r="36" spans="1:9" x14ac:dyDescent="0.2">
      <c r="A36" s="122" t="s">
        <v>230</v>
      </c>
      <c r="B36" s="86" t="s">
        <v>181</v>
      </c>
      <c r="C36" s="85"/>
      <c r="D36" s="85"/>
      <c r="E36" s="85"/>
      <c r="F36" s="85"/>
      <c r="G36" s="85"/>
      <c r="H36" s="85"/>
      <c r="I36" s="89"/>
    </row>
    <row r="37" spans="1:9" x14ac:dyDescent="0.2">
      <c r="A37" s="122" t="s">
        <v>230</v>
      </c>
      <c r="B37" s="86" t="s">
        <v>182</v>
      </c>
      <c r="C37" s="85"/>
      <c r="D37" s="85"/>
      <c r="E37" s="85"/>
      <c r="F37" s="85"/>
      <c r="G37" s="85"/>
      <c r="H37" s="85"/>
      <c r="I37" s="89"/>
    </row>
    <row r="38" spans="1:9" x14ac:dyDescent="0.2">
      <c r="A38" s="122" t="s">
        <v>230</v>
      </c>
      <c r="B38" s="86" t="s">
        <v>183</v>
      </c>
      <c r="C38" s="85"/>
      <c r="D38" s="85"/>
      <c r="E38" s="85"/>
      <c r="F38" s="85"/>
      <c r="G38" s="85"/>
      <c r="H38" s="85"/>
      <c r="I38" s="89"/>
    </row>
    <row r="39" spans="1:9" x14ac:dyDescent="0.2">
      <c r="A39" s="122" t="s">
        <v>230</v>
      </c>
      <c r="B39" s="86" t="s">
        <v>184</v>
      </c>
      <c r="C39" s="85"/>
      <c r="D39" s="85"/>
      <c r="E39" s="85"/>
      <c r="F39" s="85"/>
      <c r="G39" s="85"/>
      <c r="H39" s="85"/>
      <c r="I39" s="89"/>
    </row>
    <row r="40" spans="1:9" x14ac:dyDescent="0.2">
      <c r="A40" s="122" t="s">
        <v>230</v>
      </c>
      <c r="B40" s="88" t="s">
        <v>185</v>
      </c>
      <c r="C40" s="87"/>
      <c r="D40" s="87"/>
      <c r="E40" s="87"/>
      <c r="F40" s="87"/>
      <c r="G40" s="87"/>
      <c r="H40" s="87"/>
      <c r="I40" s="90"/>
    </row>
    <row r="41" spans="1:9" x14ac:dyDescent="0.2">
      <c r="A41" s="91" t="s">
        <v>193</v>
      </c>
      <c r="B41" s="92"/>
      <c r="C41" s="92"/>
      <c r="D41" s="92"/>
      <c r="E41" s="92"/>
      <c r="F41" s="92"/>
      <c r="G41" s="92"/>
      <c r="H41" s="92"/>
      <c r="I41" s="93"/>
    </row>
    <row r="42" spans="1:9" x14ac:dyDescent="0.2">
      <c r="A42" s="94" t="s">
        <v>194</v>
      </c>
      <c r="B42" s="95"/>
      <c r="C42" s="95"/>
      <c r="D42" s="95"/>
      <c r="E42" s="95"/>
      <c r="F42" s="95"/>
      <c r="G42" s="95"/>
      <c r="H42" s="95"/>
      <c r="I42" s="96"/>
    </row>
    <row r="43" spans="1:9" x14ac:dyDescent="0.2">
      <c r="A43" s="94" t="s">
        <v>195</v>
      </c>
      <c r="B43" s="95"/>
      <c r="C43" s="95"/>
      <c r="D43" s="95"/>
      <c r="E43" s="95"/>
      <c r="F43" s="95"/>
      <c r="G43" s="95"/>
      <c r="H43" s="95"/>
      <c r="I43" s="96"/>
    </row>
    <row r="44" spans="1:9" x14ac:dyDescent="0.2">
      <c r="A44" s="122" t="s">
        <v>230</v>
      </c>
      <c r="B44" s="97" t="s">
        <v>196</v>
      </c>
      <c r="C44" s="95"/>
      <c r="D44" s="95"/>
      <c r="E44" s="95"/>
      <c r="F44" s="95"/>
      <c r="G44" s="95"/>
      <c r="H44" s="95"/>
      <c r="I44" s="96"/>
    </row>
    <row r="45" spans="1:9" x14ac:dyDescent="0.2">
      <c r="A45" s="122" t="s">
        <v>230</v>
      </c>
      <c r="B45" s="97" t="s">
        <v>199</v>
      </c>
      <c r="C45" s="95"/>
      <c r="D45" s="95"/>
      <c r="E45" s="95"/>
      <c r="F45" s="95"/>
      <c r="G45" s="95"/>
      <c r="H45" s="95"/>
      <c r="I45" s="96"/>
    </row>
    <row r="46" spans="1:9" x14ac:dyDescent="0.2">
      <c r="A46" s="122" t="s">
        <v>230</v>
      </c>
      <c r="B46" s="97" t="s">
        <v>200</v>
      </c>
      <c r="C46" s="95"/>
      <c r="D46" s="95"/>
      <c r="E46" s="95"/>
      <c r="F46" s="95"/>
      <c r="G46" s="95"/>
      <c r="H46" s="95"/>
      <c r="I46" s="96"/>
    </row>
    <row r="47" spans="1:9" x14ac:dyDescent="0.2">
      <c r="A47" s="122" t="s">
        <v>230</v>
      </c>
      <c r="B47" s="97" t="s">
        <v>197</v>
      </c>
      <c r="C47" s="95"/>
      <c r="D47" s="95"/>
      <c r="E47" s="95"/>
      <c r="F47" s="95"/>
      <c r="G47" s="95"/>
      <c r="H47" s="95"/>
      <c r="I47" s="96"/>
    </row>
    <row r="48" spans="1:9" x14ac:dyDescent="0.2">
      <c r="A48" s="140" t="s">
        <v>198</v>
      </c>
      <c r="B48" s="141"/>
      <c r="C48" s="141"/>
      <c r="D48" s="141"/>
      <c r="E48" s="141"/>
      <c r="F48" s="141"/>
      <c r="G48" s="141"/>
      <c r="H48" s="141"/>
      <c r="I48" s="142"/>
    </row>
    <row r="49" spans="1:9" x14ac:dyDescent="0.2">
      <c r="A49" s="143"/>
      <c r="B49" s="144"/>
      <c r="C49" s="144"/>
      <c r="D49" s="144"/>
      <c r="E49" s="144"/>
      <c r="F49" s="144"/>
      <c r="G49" s="144"/>
      <c r="H49" s="144"/>
      <c r="I49" s="145"/>
    </row>
  </sheetData>
  <mergeCells count="24">
    <mergeCell ref="K2:S3"/>
    <mergeCell ref="K25:S27"/>
    <mergeCell ref="K29:S32"/>
    <mergeCell ref="A2:I5"/>
    <mergeCell ref="A1:I1"/>
    <mergeCell ref="A7:I8"/>
    <mergeCell ref="A26:I27"/>
    <mergeCell ref="A25:I25"/>
    <mergeCell ref="A6:I6"/>
    <mergeCell ref="A9:I9"/>
    <mergeCell ref="A13:I13"/>
    <mergeCell ref="A18:I18"/>
    <mergeCell ref="A19:I19"/>
    <mergeCell ref="A28:I28"/>
    <mergeCell ref="A32:I32"/>
    <mergeCell ref="A35:I35"/>
    <mergeCell ref="A48:I49"/>
    <mergeCell ref="V20:AC22"/>
    <mergeCell ref="V24:AC25"/>
    <mergeCell ref="U2:AC3"/>
    <mergeCell ref="V11:AC12"/>
    <mergeCell ref="V18:AC19"/>
    <mergeCell ref="V14:AC15"/>
    <mergeCell ref="V16:A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0F49-F58B-1648-A634-323DC9F2C453}">
  <sheetPr codeName="Sheet1"/>
  <dimension ref="A1:Q43"/>
  <sheetViews>
    <sheetView zoomScale="108" zoomScaleNormal="108" workbookViewId="0">
      <selection activeCell="L45" sqref="L45"/>
    </sheetView>
  </sheetViews>
  <sheetFormatPr baseColWidth="10" defaultColWidth="11" defaultRowHeight="16" x14ac:dyDescent="0.2"/>
  <cols>
    <col min="2" max="2" width="28" customWidth="1"/>
    <col min="3" max="3" width="22.1640625" customWidth="1"/>
    <col min="4" max="4" width="40.83203125" customWidth="1"/>
    <col min="5" max="5" width="14.6640625" customWidth="1"/>
    <col min="6" max="6" width="16.33203125" customWidth="1"/>
    <col min="7" max="7" width="15.33203125" customWidth="1"/>
    <col min="8" max="8" width="13.5" customWidth="1"/>
    <col min="9" max="9" width="18.6640625" customWidth="1"/>
    <col min="10" max="10" width="17.1640625" customWidth="1"/>
    <col min="11" max="12" width="23.5" customWidth="1"/>
    <col min="13" max="13" width="21.5" customWidth="1"/>
    <col min="14" max="14" width="20.5" customWidth="1"/>
    <col min="15" max="15" width="18.6640625" customWidth="1"/>
    <col min="16" max="16" width="14" customWidth="1"/>
  </cols>
  <sheetData>
    <row r="1" spans="1:14" ht="80" customHeight="1" x14ac:dyDescent="0.2">
      <c r="A1" s="54" t="s">
        <v>0</v>
      </c>
      <c r="B1" s="55" t="s">
        <v>1</v>
      </c>
      <c r="C1" s="55" t="s">
        <v>121</v>
      </c>
      <c r="D1" s="55" t="s">
        <v>122</v>
      </c>
      <c r="E1" s="56" t="s">
        <v>140</v>
      </c>
      <c r="F1" s="56" t="s">
        <v>2</v>
      </c>
      <c r="G1" s="56" t="s">
        <v>3</v>
      </c>
      <c r="H1" s="57" t="s">
        <v>141</v>
      </c>
      <c r="I1" s="57" t="s">
        <v>142</v>
      </c>
      <c r="J1" s="57" t="s">
        <v>143</v>
      </c>
      <c r="K1" s="56" t="s">
        <v>144</v>
      </c>
      <c r="L1" s="56" t="s">
        <v>145</v>
      </c>
      <c r="M1" s="56" t="s">
        <v>146</v>
      </c>
      <c r="N1" s="58" t="s">
        <v>147</v>
      </c>
    </row>
    <row r="2" spans="1:14" x14ac:dyDescent="0.2">
      <c r="A2" s="59">
        <v>1</v>
      </c>
      <c r="B2" s="60" t="s">
        <v>4</v>
      </c>
      <c r="C2" s="60" t="s">
        <v>124</v>
      </c>
      <c r="D2" s="60" t="s">
        <v>123</v>
      </c>
      <c r="E2" s="60">
        <v>4.7</v>
      </c>
      <c r="F2" s="60">
        <f>Duolingo!E36</f>
        <v>37473804</v>
      </c>
      <c r="G2" s="61">
        <v>500000000</v>
      </c>
      <c r="H2" s="60">
        <f>Duolingo!E40</f>
        <v>25.215962635851429</v>
      </c>
      <c r="I2" s="62">
        <f>'Results by recommendation categ'!C7</f>
        <v>0.71052631578947367</v>
      </c>
      <c r="J2" s="62">
        <f>'Results by recommendation categ'!C10</f>
        <v>0.82352941176470584</v>
      </c>
      <c r="K2" s="62">
        <f>'Results by recommendation categ'!C16</f>
        <v>0.71061643835616439</v>
      </c>
      <c r="L2" s="62">
        <f>'Results by recommendation categ'!C22</f>
        <v>0.77894736842105261</v>
      </c>
      <c r="M2" s="62">
        <f>AVERAGE(Table1[[#This Row],[General Usability Recommendations (GUR)]:[Usability Recommendations for NOT Recommended  Gamification Elements (URUIGE)]])</f>
        <v>0.75590488358284902</v>
      </c>
      <c r="N2" s="63">
        <f>AVERAGE(Table1[[#This Row],[Usability Recommendations for Recommended  Gamification Elements (URSIGE)]:[Usability Recommendations for NOT Recommended  Gamification Elements (URUIGE)]])</f>
        <v>0.7447819033886085</v>
      </c>
    </row>
    <row r="3" spans="1:14" x14ac:dyDescent="0.2">
      <c r="A3" s="59">
        <v>2</v>
      </c>
      <c r="B3" s="60" t="s">
        <v>18</v>
      </c>
      <c r="C3" s="60" t="s">
        <v>125</v>
      </c>
      <c r="D3" s="60" t="s">
        <v>123</v>
      </c>
      <c r="E3" s="60">
        <v>4.0999999999999996</v>
      </c>
      <c r="F3" s="60">
        <f>'Duolingo ABC'!E29</f>
        <v>17919</v>
      </c>
      <c r="G3" s="61">
        <v>10000000</v>
      </c>
      <c r="H3" s="60">
        <f>'Duolingo ABC'!E33</f>
        <v>13.655184094829373</v>
      </c>
      <c r="I3" s="62">
        <f>'Results by recommendation categ'!D7</f>
        <v>0.73529411764705888</v>
      </c>
      <c r="J3" s="62">
        <f>'Results by recommendation categ'!D10</f>
        <v>0.61538461538461542</v>
      </c>
      <c r="K3" s="62">
        <f>'Results by recommendation categ'!D16</f>
        <v>0.6404494382022472</v>
      </c>
      <c r="L3" s="62">
        <f>'Results by recommendation categ'!C22</f>
        <v>0.77894736842105261</v>
      </c>
      <c r="M3" s="64">
        <f>AVERAGE(Table1[[#This Row],[General Usability Recommendations (GUR)]:[Usability Recommendations for NOT Recommended  Gamification Elements (URUIGE)]])</f>
        <v>0.69251888491374358</v>
      </c>
      <c r="N3" s="63">
        <f>AVERAGE(Table1[[#This Row],[Usability Recommendations for Recommended  Gamification Elements (URSIGE)]:[Usability Recommendations for NOT Recommended  Gamification Elements (URUIGE)]])</f>
        <v>0.70969840331164991</v>
      </c>
    </row>
    <row r="4" spans="1:14" x14ac:dyDescent="0.2">
      <c r="A4" s="59">
        <v>3</v>
      </c>
      <c r="B4" s="60" t="s">
        <v>11</v>
      </c>
      <c r="C4" s="60" t="s">
        <v>126</v>
      </c>
      <c r="D4" s="60" t="s">
        <v>123</v>
      </c>
      <c r="E4" s="60">
        <v>4.3</v>
      </c>
      <c r="F4" s="60">
        <f>'Khan academy'!D37</f>
        <v>169688</v>
      </c>
      <c r="G4" s="60">
        <v>10000000</v>
      </c>
      <c r="H4" s="60">
        <f>'Khan academy'!D41</f>
        <v>16.938118517672127</v>
      </c>
      <c r="I4" s="62">
        <f>'Results by recommendation categ'!F7</f>
        <v>0.66428571428571426</v>
      </c>
      <c r="J4" s="62">
        <f>'Results by recommendation categ'!F10</f>
        <v>0.72727272727272729</v>
      </c>
      <c r="K4" s="62">
        <f>'Results by recommendation categ'!F16</f>
        <v>0.76363636363636367</v>
      </c>
      <c r="L4" s="62">
        <f>'Results by recommendation categ'!F22</f>
        <v>0.77894736842105261</v>
      </c>
      <c r="M4" s="62">
        <f>AVERAGE(Table1[[#This Row],[General Usability Recommendations (GUR)]:[Usability Recommendations for NOT Recommended  Gamification Elements (URUIGE)]])</f>
        <v>0.73353554340396454</v>
      </c>
      <c r="N4" s="63">
        <f>AVERAGE(Table1[[#This Row],[Usability Recommendations for Recommended  Gamification Elements (URSIGE)]:[Usability Recommendations for NOT Recommended  Gamification Elements (URUIGE)]])</f>
        <v>0.77129186602870814</v>
      </c>
    </row>
    <row r="5" spans="1:14" x14ac:dyDescent="0.2">
      <c r="A5" s="59">
        <v>4</v>
      </c>
      <c r="B5" s="60" t="s">
        <v>15</v>
      </c>
      <c r="C5" s="60" t="s">
        <v>125</v>
      </c>
      <c r="D5" s="60" t="s">
        <v>123</v>
      </c>
      <c r="E5" s="60">
        <v>4.5999999999999996</v>
      </c>
      <c r="F5" s="60">
        <f>'Khan academy kids'!D37</f>
        <v>52204</v>
      </c>
      <c r="G5" s="60">
        <v>5000000</v>
      </c>
      <c r="H5" s="60">
        <f>'Khan academy kids'!D41</f>
        <v>15.642739923592307</v>
      </c>
      <c r="I5" s="64">
        <f>'Results by recommendation categ'!G7</f>
        <v>0.69230769230769229</v>
      </c>
      <c r="J5" s="62">
        <f>'Results by recommendation categ'!G10</f>
        <v>0.38461538461538464</v>
      </c>
      <c r="K5" s="62">
        <f>'Results by recommendation categ'!G16</f>
        <v>0.59920634920634919</v>
      </c>
      <c r="L5" s="62">
        <f>'Results by recommendation categ'!G22</f>
        <v>0.7142857142857143</v>
      </c>
      <c r="M5" s="62">
        <f>AVERAGE(Table1[[#This Row],[General Usability Recommendations (GUR)]:[Usability Recommendations for NOT Recommended  Gamification Elements (URUIGE)]])</f>
        <v>0.59760378510378509</v>
      </c>
      <c r="N5" s="63">
        <f>AVERAGE(Table1[[#This Row],[Usability Recommendations for Recommended  Gamification Elements (URSIGE)]:[Usability Recommendations for NOT Recommended  Gamification Elements (URUIGE)]])</f>
        <v>0.65674603174603174</v>
      </c>
    </row>
    <row r="6" spans="1:14" x14ac:dyDescent="0.2">
      <c r="A6" s="59">
        <v>5</v>
      </c>
      <c r="B6" s="60" t="s">
        <v>9</v>
      </c>
      <c r="C6" s="60" t="s">
        <v>124</v>
      </c>
      <c r="D6" s="60" t="s">
        <v>127</v>
      </c>
      <c r="E6" s="60">
        <v>4.4000000000000004</v>
      </c>
      <c r="F6" s="60">
        <f>Headspace!D37</f>
        <v>336619</v>
      </c>
      <c r="G6" s="60">
        <v>10000000</v>
      </c>
      <c r="H6" s="60">
        <f>Headspace!D41</f>
        <v>18.176333389866638</v>
      </c>
      <c r="I6" s="62">
        <f>'Results by recommendation categ'!H7</f>
        <v>0.63888888888888884</v>
      </c>
      <c r="J6" s="62">
        <f>'Results by recommendation categ'!H10</f>
        <v>0.375</v>
      </c>
      <c r="K6" s="62">
        <f>'Results by recommendation categ'!H16</f>
        <v>0.7</v>
      </c>
      <c r="L6" s="62">
        <f>'Results by recommendation categ'!H22</f>
        <v>0.90909090909090906</v>
      </c>
      <c r="M6" s="62">
        <f>AVERAGE(Table1[[#This Row],[General Usability Recommendations (GUR)]:[Usability Recommendations for NOT Recommended  Gamification Elements (URUIGE)]])</f>
        <v>0.65574494949494944</v>
      </c>
      <c r="N6" s="63">
        <f>AVERAGE(Table1[[#This Row],[Usability Recommendations for Recommended  Gamification Elements (URSIGE)]:[Usability Recommendations for NOT Recommended  Gamification Elements (URUIGE)]])</f>
        <v>0.80454545454545445</v>
      </c>
    </row>
    <row r="7" spans="1:14" x14ac:dyDescent="0.2">
      <c r="A7" s="59">
        <v>6</v>
      </c>
      <c r="B7" s="60" t="s">
        <v>7</v>
      </c>
      <c r="C7" s="60" t="s">
        <v>124</v>
      </c>
      <c r="D7" s="60" t="s">
        <v>132</v>
      </c>
      <c r="E7" s="60">
        <v>4</v>
      </c>
      <c r="F7" s="60">
        <f>FITBIT!E27</f>
        <v>1209912</v>
      </c>
      <c r="G7" s="60">
        <v>100000000</v>
      </c>
      <c r="H7" s="60">
        <f>FITBIT!E31</f>
        <v>19.772068381217892</v>
      </c>
      <c r="I7" s="62">
        <f>'Results by recommendation categ'!E7</f>
        <v>0.90909090909090906</v>
      </c>
      <c r="J7" s="62">
        <f>'Results by recommendation categ'!E10</f>
        <v>0.58333333333333337</v>
      </c>
      <c r="K7" s="65">
        <f>'Results by recommendation categ'!E16</f>
        <v>0.7024793388429752</v>
      </c>
      <c r="L7" s="62">
        <f>'Results by recommendation categ'!E22</f>
        <v>0.609375</v>
      </c>
      <c r="M7" s="62">
        <f>AVERAGE(Table1[[#This Row],[General Usability Recommendations (GUR)]:[Usability Recommendations for NOT Recommended  Gamification Elements (URUIGE)]])</f>
        <v>0.70106964531680438</v>
      </c>
      <c r="N7" s="63">
        <f>AVERAGE(Table1[[#This Row],[Usability Recommendations for Recommended  Gamification Elements (URSIGE)]:[Usability Recommendations for NOT Recommended  Gamification Elements (URUIGE)]])</f>
        <v>0.65592716942148765</v>
      </c>
    </row>
    <row r="8" spans="1:14" x14ac:dyDescent="0.2">
      <c r="A8" s="59">
        <v>7</v>
      </c>
      <c r="B8" s="60" t="s">
        <v>17</v>
      </c>
      <c r="C8" s="60" t="s">
        <v>130</v>
      </c>
      <c r="D8" s="60" t="s">
        <v>123</v>
      </c>
      <c r="E8" s="60">
        <v>4.7</v>
      </c>
      <c r="F8" s="60">
        <f>CodeAcademyGo!D37</f>
        <v>38861</v>
      </c>
      <c r="G8" s="60">
        <v>1000000</v>
      </c>
      <c r="H8" s="60">
        <f>CodeAcademyGo!D41</f>
        <v>15.302606796907259</v>
      </c>
      <c r="I8" s="62">
        <f>'Results by recommendation categ'!AF7</f>
        <v>0.75</v>
      </c>
      <c r="J8" s="62">
        <f>'Results by recommendation categ'!AF10</f>
        <v>0.52941176470588236</v>
      </c>
      <c r="K8" s="62">
        <f>'Results by recommendation categ'!AF16</f>
        <v>0.79920212765957444</v>
      </c>
      <c r="L8" s="62">
        <f>'Results by recommendation categ'!AF22</f>
        <v>0.89583333333333337</v>
      </c>
      <c r="M8" s="62">
        <f>AVERAGE(Table1[[#This Row],[General Usability Recommendations (GUR)]:[Usability Recommendations for NOT Recommended  Gamification Elements (URUIGE)]])</f>
        <v>0.7436118064246976</v>
      </c>
      <c r="N8" s="63">
        <f>AVERAGE(Table1[[#This Row],[Usability Recommendations for Recommended  Gamification Elements (URSIGE)]:[Usability Recommendations for NOT Recommended  Gamification Elements (URUIGE)]])</f>
        <v>0.84751773049645385</v>
      </c>
    </row>
    <row r="9" spans="1:14" x14ac:dyDescent="0.2">
      <c r="A9" s="59">
        <v>8</v>
      </c>
      <c r="B9" s="60" t="s">
        <v>12</v>
      </c>
      <c r="C9" s="60" t="s">
        <v>130</v>
      </c>
      <c r="D9" s="60" t="s">
        <v>128</v>
      </c>
      <c r="E9" s="60">
        <v>4.5</v>
      </c>
      <c r="F9" s="60">
        <f>'Fortune city'!D37</f>
        <v>116667</v>
      </c>
      <c r="G9" s="60">
        <v>1000000</v>
      </c>
      <c r="H9" s="60">
        <f>'Fortune city'!D41</f>
        <v>16.832045673872749</v>
      </c>
      <c r="I9" s="62">
        <f>'Results by recommendation categ'!I7</f>
        <v>0.7734375</v>
      </c>
      <c r="J9" s="62">
        <f>'Results by recommendation categ'!I10</f>
        <v>0.52631578947368418</v>
      </c>
      <c r="K9" s="62">
        <f>'Results by recommendation categ'!I16</f>
        <v>0.79436619718309864</v>
      </c>
      <c r="L9" s="62">
        <f>'Results by recommendation categ'!I22</f>
        <v>0.75</v>
      </c>
      <c r="M9" s="62">
        <f>AVERAGE(Table1[[#This Row],[General Usability Recommendations (GUR)]:[Usability Recommendations for NOT Recommended  Gamification Elements (URUIGE)]])</f>
        <v>0.71102987166419562</v>
      </c>
      <c r="N9" s="63">
        <f>AVERAGE(Table1[[#This Row],[Usability Recommendations for Recommended  Gamification Elements (URSIGE)]:[Usability Recommendations for NOT Recommended  Gamification Elements (URUIGE)]])</f>
        <v>0.77218309859154932</v>
      </c>
    </row>
    <row r="10" spans="1:14" x14ac:dyDescent="0.2">
      <c r="A10" s="59">
        <v>9</v>
      </c>
      <c r="B10" s="60" t="s">
        <v>14</v>
      </c>
      <c r="C10" s="60" t="s">
        <v>130</v>
      </c>
      <c r="D10" s="60" t="s">
        <v>129</v>
      </c>
      <c r="E10" s="60">
        <v>4.7</v>
      </c>
      <c r="F10" s="60">
        <f>Habitica!D37</f>
        <v>68118</v>
      </c>
      <c r="G10" s="60">
        <v>5000000</v>
      </c>
      <c r="H10" s="60">
        <f>Habitica!D41</f>
        <v>16.112313249150315</v>
      </c>
      <c r="I10" s="65">
        <f>'Results by recommendation categ'!J7</f>
        <v>0.88095238095238093</v>
      </c>
      <c r="J10" s="62">
        <f>'Results by recommendation categ'!J10</f>
        <v>0.73333333333333328</v>
      </c>
      <c r="K10" s="62">
        <f>'Results by recommendation categ'!J16</f>
        <v>0.65206185567010311</v>
      </c>
      <c r="L10" s="62">
        <f>'Results by recommendation categ'!J22</f>
        <v>0.80487804878048785</v>
      </c>
      <c r="M10" s="62">
        <f>AVERAGE(Table1[[#This Row],[General Usability Recommendations (GUR)]:[Usability Recommendations for NOT Recommended  Gamification Elements (URUIGE)]])</f>
        <v>0.76780640468407624</v>
      </c>
      <c r="N10" s="63">
        <f>AVERAGE(Table1[[#This Row],[Usability Recommendations for Recommended  Gamification Elements (URSIGE)]:[Usability Recommendations for NOT Recommended  Gamification Elements (URUIGE)]])</f>
        <v>0.72846995222529554</v>
      </c>
    </row>
    <row r="11" spans="1:14" x14ac:dyDescent="0.2">
      <c r="A11" s="59">
        <v>10</v>
      </c>
      <c r="B11" s="60" t="s">
        <v>5</v>
      </c>
      <c r="C11" s="60" t="s">
        <v>130</v>
      </c>
      <c r="D11" s="60" t="s">
        <v>123</v>
      </c>
      <c r="E11" s="60">
        <v>4.5999999999999996</v>
      </c>
      <c r="F11" s="60">
        <f>Memrise!D37</f>
        <v>1570598</v>
      </c>
      <c r="G11" s="60">
        <v>10000000</v>
      </c>
      <c r="H11" s="60">
        <f>Memrise!D41</f>
        <v>20.553735963796793</v>
      </c>
      <c r="I11" s="62">
        <f>'Results by recommendation categ'!K7</f>
        <v>0.71052631578947367</v>
      </c>
      <c r="J11" s="62">
        <f>'Results by recommendation categ'!K10</f>
        <v>0.52941176470588236</v>
      </c>
      <c r="K11" s="62">
        <f>'Results by recommendation categ'!K16</f>
        <v>0.68274853801169588</v>
      </c>
      <c r="L11" s="84"/>
      <c r="M11" s="62">
        <f>AVERAGE(Table1[[#This Row],[General Usability Recommendations (GUR)]:[Usability Recommendations for NOT Recommended  Gamification Elements (URUIGE)]])</f>
        <v>0.64089553950235068</v>
      </c>
      <c r="N11" s="63">
        <f>AVERAGE(Table1[[#This Row],[Usability Recommendations for Recommended  Gamification Elements (URSIGE)]:[Usability Recommendations for NOT Recommended  Gamification Elements (URUIGE)]])</f>
        <v>0.68274853801169588</v>
      </c>
    </row>
    <row r="12" spans="1:14" x14ac:dyDescent="0.2">
      <c r="A12" s="59">
        <v>11</v>
      </c>
      <c r="B12" s="60" t="s">
        <v>13</v>
      </c>
      <c r="C12" s="60" t="s">
        <v>124</v>
      </c>
      <c r="D12" s="60" t="s">
        <v>123</v>
      </c>
      <c r="E12" s="60">
        <v>4.5999999999999996</v>
      </c>
      <c r="F12" s="60">
        <f>Brilliant!D37</f>
        <v>98290</v>
      </c>
      <c r="G12" s="60">
        <v>5000000</v>
      </c>
      <c r="H12" s="60">
        <f>Brilliant!D41</f>
        <v>16.555622660434274</v>
      </c>
      <c r="I12" s="62">
        <f>'Results by recommendation categ'!L7</f>
        <v>0.81081081081081086</v>
      </c>
      <c r="J12" s="62">
        <f>'Results by recommendation categ'!L10</f>
        <v>0.70588235294117652</v>
      </c>
      <c r="K12" s="62">
        <f>'Results by recommendation categ'!L16</f>
        <v>0.79761904761904767</v>
      </c>
      <c r="L12" s="84"/>
      <c r="M12" s="62">
        <f>AVERAGE(Table1[[#This Row],[General Usability Recommendations (GUR)]:[Usability Recommendations for NOT Recommended  Gamification Elements (URUIGE)]])</f>
        <v>0.77143740379034498</v>
      </c>
      <c r="N12" s="63">
        <f>AVERAGE(Table1[[#This Row],[Usability Recommendations for Recommended  Gamification Elements (URSIGE)]:[Usability Recommendations for NOT Recommended  Gamification Elements (URUIGE)]])</f>
        <v>0.79761904761904767</v>
      </c>
    </row>
    <row r="13" spans="1:14" x14ac:dyDescent="0.2">
      <c r="A13" s="59">
        <v>12</v>
      </c>
      <c r="B13" s="60" t="s">
        <v>8</v>
      </c>
      <c r="C13" s="60" t="s">
        <v>124</v>
      </c>
      <c r="D13" s="60" t="s">
        <v>131</v>
      </c>
      <c r="E13" s="60">
        <v>4.4000000000000004</v>
      </c>
      <c r="F13" s="60">
        <f>Fabulous!D38</f>
        <v>580767</v>
      </c>
      <c r="G13" s="60">
        <v>10000000</v>
      </c>
      <c r="H13" s="60">
        <f>Fabulous!D42</f>
        <v>18.995595204606378</v>
      </c>
      <c r="I13" s="62">
        <f>'Results by recommendation categ'!P7</f>
        <v>0.73809523809523814</v>
      </c>
      <c r="J13" s="62">
        <f>'Results by recommendation categ'!P10</f>
        <v>0.52631578947368418</v>
      </c>
      <c r="K13" s="62">
        <f>'Results by recommendation categ'!P16</f>
        <v>0.80952380952380953</v>
      </c>
      <c r="L13" s="62">
        <f>'Results by recommendation categ'!P22</f>
        <v>0.73333333333333328</v>
      </c>
      <c r="M13" s="62">
        <f>AVERAGE(Table1[[#This Row],[General Usability Recommendations (GUR)]:[Usability Recommendations for NOT Recommended  Gamification Elements (URUIGE)]])</f>
        <v>0.70181704260651623</v>
      </c>
      <c r="N13" s="63">
        <f>AVERAGE(Table1[[#This Row],[Usability Recommendations for Recommended  Gamification Elements (URSIGE)]:[Usability Recommendations for NOT Recommended  Gamification Elements (URUIGE)]])</f>
        <v>0.77142857142857135</v>
      </c>
    </row>
    <row r="14" spans="1:14" x14ac:dyDescent="0.2">
      <c r="A14" s="59">
        <v>13</v>
      </c>
      <c r="B14" s="60" t="s">
        <v>20</v>
      </c>
      <c r="C14" s="60" t="s">
        <v>130</v>
      </c>
      <c r="D14" s="60" t="s">
        <v>127</v>
      </c>
      <c r="E14" s="60">
        <v>4.2</v>
      </c>
      <c r="F14" s="60">
        <f>'Clarify by fabulous'!D38</f>
        <v>7378</v>
      </c>
      <c r="G14" s="66">
        <v>500000</v>
      </c>
      <c r="H14" s="60">
        <f>'Clarify by fabulous'!D42</f>
        <v>12.526939316259334</v>
      </c>
      <c r="I14" s="62">
        <f>'Results by recommendation categ'!Q7</f>
        <v>0.7</v>
      </c>
      <c r="J14" s="62">
        <f>'Results by recommendation categ'!Q10</f>
        <v>0.625</v>
      </c>
      <c r="K14" s="62">
        <f>'Results by recommendation categ'!Q16</f>
        <v>0.75409836065573765</v>
      </c>
      <c r="L14" s="62">
        <f>'Results by recommendation categ'!Q22</f>
        <v>0.70270270270270274</v>
      </c>
      <c r="M14" s="67">
        <f>AVERAGE(Table1[[#This Row],[General Usability Recommendations (GUR)]:[Usability Recommendations for NOT Recommended  Gamification Elements (URUIGE)]])</f>
        <v>0.69545026583961</v>
      </c>
      <c r="N14" s="63">
        <f>AVERAGE(Table1[[#This Row],[Usability Recommendations for Recommended  Gamification Elements (URSIGE)]:[Usability Recommendations for NOT Recommended  Gamification Elements (URUIGE)]])</f>
        <v>0.72840053167922014</v>
      </c>
    </row>
    <row r="15" spans="1:14" x14ac:dyDescent="0.2">
      <c r="A15" s="59">
        <v>14</v>
      </c>
      <c r="B15" s="60" t="s">
        <v>6</v>
      </c>
      <c r="C15" s="60" t="s">
        <v>124</v>
      </c>
      <c r="D15" s="60" t="s">
        <v>132</v>
      </c>
      <c r="E15" s="60">
        <v>4.5</v>
      </c>
      <c r="F15" s="60">
        <f>Strava!D38</f>
        <v>974938</v>
      </c>
      <c r="G15" s="60">
        <v>50000000</v>
      </c>
      <c r="H15" s="60">
        <f>Strava!D42</f>
        <v>19.774658067160669</v>
      </c>
      <c r="I15" s="62">
        <f>'Results by recommendation categ'!M7</f>
        <v>0.86363636363636365</v>
      </c>
      <c r="J15" s="62">
        <f>'Results by recommendation categ'!M10</f>
        <v>0.83333333333333337</v>
      </c>
      <c r="K15" s="62">
        <f>'Results by recommendation categ'!M16</f>
        <v>0.7723214285714286</v>
      </c>
      <c r="L15" s="62">
        <f>'Results by recommendation categ'!M22</f>
        <v>0.82</v>
      </c>
      <c r="M15" s="62">
        <f>AVERAGE(Table1[[#This Row],[General Usability Recommendations (GUR)]:[Usability Recommendations for NOT Recommended  Gamification Elements (URUIGE)]])</f>
        <v>0.82232278138528137</v>
      </c>
      <c r="N15" s="63">
        <f>AVERAGE(Table1[[#This Row],[Usability Recommendations for Recommended  Gamification Elements (URSIGE)]:[Usability Recommendations for NOT Recommended  Gamification Elements (URUIGE)]])</f>
        <v>0.79616071428571433</v>
      </c>
    </row>
    <row r="16" spans="1:14" x14ac:dyDescent="0.2">
      <c r="A16" s="59">
        <v>15</v>
      </c>
      <c r="B16" s="60" t="s">
        <v>22</v>
      </c>
      <c r="C16" s="60" t="s">
        <v>124</v>
      </c>
      <c r="D16" s="60" t="s">
        <v>127</v>
      </c>
      <c r="E16" s="60">
        <v>4.2</v>
      </c>
      <c r="F16" s="60">
        <f>SuperBetter!D38</f>
        <v>6542</v>
      </c>
      <c r="G16" s="60">
        <v>100000</v>
      </c>
      <c r="H16" s="60">
        <f>SuperBetter!D42</f>
        <v>12.424218787682422</v>
      </c>
      <c r="I16" s="62">
        <f>'Results by recommendation categ'!S7</f>
        <v>0.66666666666666663</v>
      </c>
      <c r="J16" s="62">
        <f>'Results by recommendation categ'!S10</f>
        <v>0.625</v>
      </c>
      <c r="K16" s="62">
        <f>'Results by recommendation categ'!S16</f>
        <v>0.72635135135135132</v>
      </c>
      <c r="L16" s="62">
        <f>'Results by recommendation categ'!S22</f>
        <v>0.7350427350427351</v>
      </c>
      <c r="M16" s="62">
        <f>AVERAGE(Table1[[#This Row],[General Usability Recommendations (GUR)]:[Usability Recommendations for NOT Recommended  Gamification Elements (URUIGE)]])</f>
        <v>0.68826518826518823</v>
      </c>
      <c r="N16" s="63">
        <f>AVERAGE(Table1[[#This Row],[Usability Recommendations for Recommended  Gamification Elements (URSIGE)]:[Usability Recommendations for NOT Recommended  Gamification Elements (URUIGE)]])</f>
        <v>0.73069704319704321</v>
      </c>
    </row>
    <row r="17" spans="1:17" x14ac:dyDescent="0.2">
      <c r="A17" s="59">
        <v>16</v>
      </c>
      <c r="B17" s="60" t="s">
        <v>10</v>
      </c>
      <c r="C17" s="60" t="s">
        <v>124</v>
      </c>
      <c r="D17" s="60" t="s">
        <v>133</v>
      </c>
      <c r="E17" s="60">
        <v>4.5</v>
      </c>
      <c r="F17" s="60">
        <f>Lumosity!D38</f>
        <v>288463</v>
      </c>
      <c r="G17" s="60">
        <v>10000000</v>
      </c>
      <c r="H17" s="60">
        <f>Lumosity!D42</f>
        <v>18.079137339326735</v>
      </c>
      <c r="I17" s="62">
        <f>'Results by recommendation categ'!N7</f>
        <v>0.75609756097560976</v>
      </c>
      <c r="J17" s="62">
        <f>'Results by recommendation categ'!N10</f>
        <v>0.73333333333333328</v>
      </c>
      <c r="K17" s="62">
        <f>'Results by recommendation categ'!N16</f>
        <v>0.80229226361031514</v>
      </c>
      <c r="L17" s="62">
        <f>'Results by recommendation categ'!N22</f>
        <v>0.83064516129032262</v>
      </c>
      <c r="M17" s="62">
        <f>AVERAGE(Table1[[#This Row],[General Usability Recommendations (GUR)]:[Usability Recommendations for NOT Recommended  Gamification Elements (URUIGE)]])</f>
        <v>0.7805920798023952</v>
      </c>
      <c r="N17" s="63">
        <f>AVERAGE(Table1[[#This Row],[Usability Recommendations for Recommended  Gamification Elements (URSIGE)]:[Usability Recommendations for NOT Recommended  Gamification Elements (URUIGE)]])</f>
        <v>0.81646871245031893</v>
      </c>
    </row>
    <row r="18" spans="1:17" x14ac:dyDescent="0.2">
      <c r="A18" s="59">
        <v>17</v>
      </c>
      <c r="B18" s="60" t="s">
        <v>25</v>
      </c>
      <c r="C18" s="60" t="s">
        <v>135</v>
      </c>
      <c r="D18" s="60" t="s">
        <v>134</v>
      </c>
      <c r="E18" s="60">
        <v>3.7</v>
      </c>
      <c r="F18" s="60">
        <f>'Sidekick Health'!D37</f>
        <v>148</v>
      </c>
      <c r="G18" s="60">
        <v>10000</v>
      </c>
      <c r="H18" s="60">
        <f>'Sidekick Health'!D41</f>
        <v>6.3715588626119626</v>
      </c>
      <c r="I18" s="62">
        <f>'Results by recommendation categ'!V7</f>
        <v>0.58333333333333337</v>
      </c>
      <c r="J18" s="62">
        <f>'Results by recommendation categ'!V10</f>
        <v>0.35294117647058826</v>
      </c>
      <c r="K18" s="62">
        <f>'Results by recommendation categ'!V16</f>
        <v>0.63571428571428568</v>
      </c>
      <c r="L18" s="62">
        <f>'Results by recommendation categ'!V22</f>
        <v>0.5982142857142857</v>
      </c>
      <c r="M18" s="62">
        <f>AVERAGE(Table1[[#This Row],[General Usability Recommendations (GUR)]:[Usability Recommendations for NOT Recommended  Gamification Elements (URUIGE)]])</f>
        <v>0.54255077030812326</v>
      </c>
      <c r="N18" s="63">
        <f>AVERAGE(Table1[[#This Row],[Usability Recommendations for Recommended  Gamification Elements (URSIGE)]:[Usability Recommendations for NOT Recommended  Gamification Elements (URUIGE)]])</f>
        <v>0.61696428571428563</v>
      </c>
    </row>
    <row r="19" spans="1:17" x14ac:dyDescent="0.2">
      <c r="A19" s="59">
        <v>18</v>
      </c>
      <c r="B19" s="60" t="s">
        <v>16</v>
      </c>
      <c r="C19" s="60" t="s">
        <v>125</v>
      </c>
      <c r="D19" s="60" t="s">
        <v>123</v>
      </c>
      <c r="E19" s="60">
        <v>3.7</v>
      </c>
      <c r="F19" s="60">
        <f>ABCmouse!D38</f>
        <v>94281</v>
      </c>
      <c r="G19" s="60">
        <v>10000000</v>
      </c>
      <c r="H19" s="60">
        <f>ABCmouse!D42</f>
        <v>15.524697802669341</v>
      </c>
      <c r="I19" s="62">
        <f>'Results by recommendation categ'!O7</f>
        <v>0.73584905660377353</v>
      </c>
      <c r="J19" s="62">
        <f>'Results by recommendation categ'!O10</f>
        <v>0.76923076923076927</v>
      </c>
      <c r="K19" s="62">
        <f>'Results by recommendation categ'!O16</f>
        <v>0.75703324808184147</v>
      </c>
      <c r="L19" s="62">
        <f>'Results by recommendation categ'!O22</f>
        <v>0.76209677419354838</v>
      </c>
      <c r="M19" s="62">
        <f>AVERAGE(Table1[[#This Row],[General Usability Recommendations (GUR)]:[Usability Recommendations for NOT Recommended  Gamification Elements (URUIGE)]])</f>
        <v>0.75605246202748322</v>
      </c>
      <c r="N19" s="63">
        <f>AVERAGE(Table1[[#This Row],[Usability Recommendations for Recommended  Gamification Elements (URSIGE)]:[Usability Recommendations for NOT Recommended  Gamification Elements (URUIGE)]])</f>
        <v>0.75956501113769492</v>
      </c>
    </row>
    <row r="20" spans="1:17" x14ac:dyDescent="0.2">
      <c r="A20" s="59">
        <v>19</v>
      </c>
      <c r="B20" s="60" t="s">
        <v>19</v>
      </c>
      <c r="C20" s="60" t="s">
        <v>124</v>
      </c>
      <c r="D20" s="60" t="s">
        <v>133</v>
      </c>
      <c r="E20" s="60">
        <v>3.9</v>
      </c>
      <c r="F20" s="60">
        <f>CogniFit!D40</f>
        <v>9749</v>
      </c>
      <c r="G20" s="60">
        <v>1000000</v>
      </c>
      <c r="H20" s="60">
        <f>CogniFit!D44</f>
        <v>12.607307193451517</v>
      </c>
      <c r="I20" s="62">
        <f>'Results by recommendation categ'!T7</f>
        <v>0.7857142857142857</v>
      </c>
      <c r="J20" s="62">
        <f>'Results by recommendation categ'!T10</f>
        <v>0.625</v>
      </c>
      <c r="K20" s="62">
        <f>'Results by recommendation categ'!T16</f>
        <v>0.76969696969696966</v>
      </c>
      <c r="L20" s="62">
        <f>'Results by recommendation categ'!T22</f>
        <v>0.96296296296296291</v>
      </c>
      <c r="M20" s="62">
        <f>AVERAGE(Table1[[#This Row],[General Usability Recommendations (GUR)]:[Usability Recommendations for NOT Recommended  Gamification Elements (URUIGE)]])</f>
        <v>0.78584355459355448</v>
      </c>
      <c r="N20" s="63">
        <f>AVERAGE(Table1[[#This Row],[Usability Recommendations for Recommended  Gamification Elements (URSIGE)]:[Usability Recommendations for NOT Recommended  Gamification Elements (URUIGE)]])</f>
        <v>0.86632996632996628</v>
      </c>
    </row>
    <row r="21" spans="1:17" x14ac:dyDescent="0.2">
      <c r="A21" s="59">
        <v>20</v>
      </c>
      <c r="B21" s="60" t="s">
        <v>23</v>
      </c>
      <c r="C21" s="60" t="s">
        <v>130</v>
      </c>
      <c r="D21" s="60" t="s">
        <v>134</v>
      </c>
      <c r="E21" s="60">
        <v>4</v>
      </c>
      <c r="F21" s="60">
        <f>'Shape by fabulous'!D38</f>
        <v>1197</v>
      </c>
      <c r="G21" s="60">
        <v>50000</v>
      </c>
      <c r="H21" s="60">
        <f>'Shape by fabulous'!D42</f>
        <v>9.7120110458390254</v>
      </c>
      <c r="I21" s="62">
        <f>'Results by recommendation categ'!R7</f>
        <v>0.5</v>
      </c>
      <c r="J21" s="62">
        <f>'Results by recommendation categ'!R10</f>
        <v>0.54545454545454541</v>
      </c>
      <c r="K21" s="67">
        <f>'Results by recommendation categ'!R16</f>
        <v>0.69666666666666666</v>
      </c>
      <c r="L21" s="62">
        <f>'Results by recommendation categ'!R22</f>
        <v>0.640625</v>
      </c>
      <c r="M21" s="62">
        <f>AVERAGE(Table1[[#This Row],[General Usability Recommendations (GUR)]:[Usability Recommendations for NOT Recommended  Gamification Elements (URUIGE)]])</f>
        <v>0.59568655303030305</v>
      </c>
      <c r="N21" s="63">
        <f>AVERAGE(Table1[[#This Row],[Usability Recommendations for Recommended  Gamification Elements (URSIGE)]:[Usability Recommendations for NOT Recommended  Gamification Elements (URUIGE)]])</f>
        <v>0.66864583333333338</v>
      </c>
    </row>
    <row r="22" spans="1:17" x14ac:dyDescent="0.2">
      <c r="A22" s="59">
        <v>21</v>
      </c>
      <c r="B22" s="60" t="s">
        <v>27</v>
      </c>
      <c r="C22" s="60" t="s">
        <v>124</v>
      </c>
      <c r="D22" s="60" t="s">
        <v>129</v>
      </c>
      <c r="E22" s="60">
        <v>3.7</v>
      </c>
      <c r="F22" s="60">
        <f>'Habit Tracker - Habit Mate'!D38</f>
        <v>55</v>
      </c>
      <c r="G22" s="60">
        <v>10000</v>
      </c>
      <c r="H22" s="60">
        <f>'Habit Tracker - Habit Mate'!D42</f>
        <v>5.0223678130284544</v>
      </c>
      <c r="I22" s="62">
        <f>'Results by recommendation categ'!Y7</f>
        <v>0.7</v>
      </c>
      <c r="J22" s="62">
        <f>'Results by recommendation categ'!Y10</f>
        <v>0.13333333333333333</v>
      </c>
      <c r="K22" s="62">
        <f>'Results by recommendation categ'!Y16</f>
        <v>0.56164383561643838</v>
      </c>
      <c r="L22" s="62">
        <f>'Results by recommendation categ'!Y22</f>
        <v>0.68181818181818177</v>
      </c>
      <c r="M22" s="62">
        <f>AVERAGE(Table1[[#This Row],[General Usability Recommendations (GUR)]:[Usability Recommendations for NOT Recommended  Gamification Elements (URUIGE)]])</f>
        <v>0.51919883769198838</v>
      </c>
      <c r="N22" s="63">
        <f>AVERAGE(Table1[[#This Row],[Usability Recommendations for Recommended  Gamification Elements (URSIGE)]:[Usability Recommendations for NOT Recommended  Gamification Elements (URUIGE)]])</f>
        <v>0.62173100871731002</v>
      </c>
    </row>
    <row r="23" spans="1:17" x14ac:dyDescent="0.2">
      <c r="A23" s="59">
        <v>22</v>
      </c>
      <c r="B23" s="60" t="s">
        <v>26</v>
      </c>
      <c r="C23" s="60" t="s">
        <v>124</v>
      </c>
      <c r="D23" s="60" t="s">
        <v>129</v>
      </c>
      <c r="E23" s="60">
        <v>3.8</v>
      </c>
      <c r="F23" s="60">
        <f>'TaskGame - Gamify your life'!D37</f>
        <v>63</v>
      </c>
      <c r="G23" s="60">
        <v>1000</v>
      </c>
      <c r="H23" s="60">
        <f>'TaskGame - Gamify your life'!D41</f>
        <v>5.5014391451588729</v>
      </c>
      <c r="I23" s="64">
        <f>'Results by recommendation categ'!X7</f>
        <v>0.69047619047619047</v>
      </c>
      <c r="J23" s="62">
        <f>'Results by recommendation categ'!X10</f>
        <v>0.33333333333333331</v>
      </c>
      <c r="K23" s="62">
        <f>'Results by recommendation categ'!X16</f>
        <v>0.61340206185567014</v>
      </c>
      <c r="L23" s="62">
        <f>'Results by recommendation categ'!X22</f>
        <v>0.66666666666666663</v>
      </c>
      <c r="M23" s="62">
        <f>AVERAGE(Table1[[#This Row],[General Usability Recommendations (GUR)]:[Usability Recommendations for NOT Recommended  Gamification Elements (URUIGE)]])</f>
        <v>0.5759695630829651</v>
      </c>
      <c r="N23" s="63">
        <f>AVERAGE(Table1[[#This Row],[Usability Recommendations for Recommended  Gamification Elements (URSIGE)]:[Usability Recommendations for NOT Recommended  Gamification Elements (URUIGE)]])</f>
        <v>0.64003436426116833</v>
      </c>
    </row>
    <row r="24" spans="1:17" x14ac:dyDescent="0.2">
      <c r="A24" s="59">
        <v>23</v>
      </c>
      <c r="B24" s="60" t="s">
        <v>21</v>
      </c>
      <c r="C24" s="60" t="s">
        <v>130</v>
      </c>
      <c r="D24" s="60" t="s">
        <v>129</v>
      </c>
      <c r="E24" s="60">
        <v>2.9</v>
      </c>
      <c r="F24" s="60">
        <f>'Habio - Simple Habit Tracker'!D37</f>
        <v>33</v>
      </c>
      <c r="G24" s="60">
        <v>1000</v>
      </c>
      <c r="H24" s="60">
        <f>'Habio - Simple Habit Tracker'!D41</f>
        <v>-3.0531113364595628</v>
      </c>
      <c r="I24" s="62">
        <f>'Results by recommendation categ'!U7</f>
        <v>0.6</v>
      </c>
      <c r="J24" s="62">
        <f>'Results by recommendation categ'!U10</f>
        <v>0.4</v>
      </c>
      <c r="K24" s="62">
        <f>'Results by recommendation categ'!U16</f>
        <v>0.65898617511520741</v>
      </c>
      <c r="L24" s="62">
        <f>'Results by recommendation categ'!U22</f>
        <v>0.73026315789473684</v>
      </c>
      <c r="M24" s="62">
        <f>AVERAGE(Table1[[#This Row],[General Usability Recommendations (GUR)]:[Usability Recommendations for NOT Recommended  Gamification Elements (URUIGE)]])</f>
        <v>0.59731233325248601</v>
      </c>
      <c r="N24" s="68">
        <f>AVERAGE(Table1[[#This Row],[Usability Recommendations for Recommended  Gamification Elements (URSIGE)]:[Usability Recommendations for NOT Recommended  Gamification Elements (URUIGE)]])</f>
        <v>0.69462466650497212</v>
      </c>
    </row>
    <row r="25" spans="1:17" x14ac:dyDescent="0.2">
      <c r="A25" s="59">
        <v>24</v>
      </c>
      <c r="B25" s="60" t="s">
        <v>33</v>
      </c>
      <c r="C25" s="60" t="s">
        <v>130</v>
      </c>
      <c r="D25" s="60" t="s">
        <v>132</v>
      </c>
      <c r="E25" s="60">
        <v>2.2999999999999998</v>
      </c>
      <c r="F25" s="60">
        <f>Walken!D38</f>
        <v>28745</v>
      </c>
      <c r="G25" s="60">
        <v>1000000</v>
      </c>
      <c r="H25" s="60">
        <f>Walken!D42</f>
        <v>-13.810923027957317</v>
      </c>
      <c r="I25" s="69">
        <f>'Results by recommendation categ'!AG7</f>
        <v>0.5</v>
      </c>
      <c r="J25" s="69">
        <f>'Results by recommendation categ'!AG10</f>
        <v>0.33333333333333331</v>
      </c>
      <c r="K25" s="69">
        <f>'Results by recommendation categ'!AG16</f>
        <v>0.47887323943661969</v>
      </c>
      <c r="L25" s="69">
        <f>'Results by recommendation categ'!AG22</f>
        <v>0.55555555555555558</v>
      </c>
      <c r="M25" s="62">
        <f>AVERAGE(Table1[[#This Row],[General Usability Recommendations (GUR)]:[Usability Recommendations for NOT Recommended  Gamification Elements (URUIGE)]])</f>
        <v>0.46694053208137715</v>
      </c>
      <c r="N25" s="63">
        <f>AVERAGE(Table1[[#This Row],[Usability Recommendations for Recommended  Gamification Elements (URSIGE)]:[Usability Recommendations for NOT Recommended  Gamification Elements (URUIGE)]])</f>
        <v>0.51721439749608766</v>
      </c>
    </row>
    <row r="26" spans="1:17" x14ac:dyDescent="0.2">
      <c r="A26" s="59">
        <v>25</v>
      </c>
      <c r="B26" s="60" t="s">
        <v>119</v>
      </c>
      <c r="C26" s="60" t="s">
        <v>130</v>
      </c>
      <c r="D26" s="60" t="s">
        <v>129</v>
      </c>
      <c r="E26" s="60">
        <v>2.9</v>
      </c>
      <c r="F26" s="60">
        <f>'Narn  Habit Tracker &amp; Goals'!D37</f>
        <v>75</v>
      </c>
      <c r="G26" s="60">
        <v>1000</v>
      </c>
      <c r="H26" s="60">
        <f>'Narn  Habit Tracker &amp; Goals'!D41</f>
        <v>-4.0443941193584534</v>
      </c>
      <c r="I26" s="69">
        <f>'Results by recommendation categ'!AH7</f>
        <v>0.6428571428571429</v>
      </c>
      <c r="J26" s="69">
        <f>'Results by recommendation categ'!AH10</f>
        <v>0.46666666666666667</v>
      </c>
      <c r="K26" s="69">
        <f>'Results by recommendation categ'!AH16</f>
        <v>0.44318181818181818</v>
      </c>
      <c r="L26" s="69">
        <f>'Results by recommendation categ'!AH22</f>
        <v>0.25</v>
      </c>
      <c r="M26" s="62">
        <f>AVERAGE(Table1[[#This Row],[General Usability Recommendations (GUR)]:[Usability Recommendations for NOT Recommended  Gamification Elements (URUIGE)]])</f>
        <v>0.45067640692640693</v>
      </c>
      <c r="N26" s="63">
        <f>AVERAGE(Table1[[#This Row],[Usability Recommendations for Recommended  Gamification Elements (URSIGE)]:[Usability Recommendations for NOT Recommended  Gamification Elements (URUIGE)]])</f>
        <v>0.34659090909090906</v>
      </c>
    </row>
    <row r="27" spans="1:17" x14ac:dyDescent="0.2">
      <c r="A27" s="59">
        <v>26</v>
      </c>
      <c r="B27" s="60" t="s">
        <v>31</v>
      </c>
      <c r="C27" s="60" t="s">
        <v>125</v>
      </c>
      <c r="D27" s="60" t="s">
        <v>123</v>
      </c>
      <c r="E27" s="60">
        <v>2.7</v>
      </c>
      <c r="F27" s="60">
        <f>'Aula Lengua'!D36</f>
        <v>43</v>
      </c>
      <c r="G27" s="60">
        <v>10000</v>
      </c>
      <c r="H27" s="60">
        <f>'Aula Lengua'!D40</f>
        <v>-4.1127001327493629</v>
      </c>
      <c r="I27" s="69">
        <f>'Results by recommendation categ'!AD7</f>
        <v>0.55000000000000004</v>
      </c>
      <c r="J27" s="69">
        <f>'Results by recommendation categ'!AD10</f>
        <v>0.30769230769230771</v>
      </c>
      <c r="K27" s="69">
        <f>'Results by recommendation categ'!AD16</f>
        <v>0.48351648351648352</v>
      </c>
      <c r="L27" s="69">
        <f>'Results by recommendation categ'!AD22</f>
        <v>0.54166666666666663</v>
      </c>
      <c r="M27" s="62">
        <f>AVERAGE(Table1[[#This Row],[General Usability Recommendations (GUR)]:[Usability Recommendations for NOT Recommended  Gamification Elements (URUIGE)]])</f>
        <v>0.47071886446886446</v>
      </c>
      <c r="N27" s="63">
        <f>AVERAGE(Table1[[#This Row],[Usability Recommendations for Recommended  Gamification Elements (URSIGE)]:[Usability Recommendations for NOT Recommended  Gamification Elements (URUIGE)]])</f>
        <v>0.51259157509157505</v>
      </c>
    </row>
    <row r="28" spans="1:17" x14ac:dyDescent="0.2">
      <c r="A28" s="59">
        <v>27</v>
      </c>
      <c r="B28" s="60" t="s">
        <v>34</v>
      </c>
      <c r="C28" s="60" t="s">
        <v>130</v>
      </c>
      <c r="D28" s="60" t="s">
        <v>136</v>
      </c>
      <c r="E28" s="60">
        <v>2.9</v>
      </c>
      <c r="F28" s="60">
        <f>'Foursquare Swarm - Check In'!D37</f>
        <v>429150</v>
      </c>
      <c r="G28" s="60">
        <v>10000000</v>
      </c>
      <c r="H28" s="60">
        <f>'Foursquare Swarm - Check In'!D41</f>
        <v>-15.65220076890961</v>
      </c>
      <c r="I28" s="62">
        <f>'Results by recommendation categ'!Z7</f>
        <v>0.57258064516129037</v>
      </c>
      <c r="J28" s="62">
        <f>'Results by recommendation categ'!Z10</f>
        <v>0.13157894736842105</v>
      </c>
      <c r="K28" s="62">
        <f>'Results by recommendation categ'!Z16</f>
        <v>0.6333333333333333</v>
      </c>
      <c r="L28" s="84"/>
      <c r="M28" s="62">
        <f>AVERAGE(Table1[[#This Row],[General Usability Recommendations (GUR)]:[Usability Recommendations for NOT Recommended  Gamification Elements (URUIGE)]])</f>
        <v>0.44583097528768151</v>
      </c>
      <c r="N28" s="63">
        <f>AVERAGE(Table1[[#This Row],[Usability Recommendations for Recommended  Gamification Elements (URSIGE)]:[Usability Recommendations for NOT Recommended  Gamification Elements (URUIGE)]])</f>
        <v>0.6333333333333333</v>
      </c>
    </row>
    <row r="29" spans="1:17" x14ac:dyDescent="0.2">
      <c r="A29" s="59">
        <v>28</v>
      </c>
      <c r="B29" s="60" t="s">
        <v>29</v>
      </c>
      <c r="C29" s="60" t="s">
        <v>124</v>
      </c>
      <c r="D29" s="60" t="s">
        <v>129</v>
      </c>
      <c r="E29" s="60">
        <v>2.6</v>
      </c>
      <c r="F29" s="60">
        <f>'Roomsy  Chores Tracker &amp; Chart'!D38</f>
        <v>10</v>
      </c>
      <c r="G29" s="60">
        <v>1000</v>
      </c>
      <c r="H29" s="60">
        <f>'Roomsy  Chores Tracker &amp; Chart'!D42</f>
        <v>-2.3219280948873622</v>
      </c>
      <c r="I29" s="69">
        <f>'Results by recommendation categ'!AC7</f>
        <v>0.67500000000000004</v>
      </c>
      <c r="J29" s="69">
        <f>'Results by recommendation categ'!AC10</f>
        <v>0.26666666666666666</v>
      </c>
      <c r="K29" s="64">
        <f>'Results by recommendation categ'!AC16</f>
        <v>0.69078947368421051</v>
      </c>
      <c r="L29" s="69">
        <f>'Results by recommendation categ'!AC22</f>
        <v>0.671875</v>
      </c>
      <c r="M29" s="62">
        <f>AVERAGE(Table1[[#This Row],[General Usability Recommendations (GUR)]:[Usability Recommendations for NOT Recommended  Gamification Elements (URUIGE)]])</f>
        <v>0.57608278508771926</v>
      </c>
      <c r="N29" s="63">
        <f>AVERAGE(Table1[[#This Row],[Usability Recommendations for Recommended  Gamification Elements (URSIGE)]:[Usability Recommendations for NOT Recommended  Gamification Elements (URUIGE)]])</f>
        <v>0.68133223684210531</v>
      </c>
    </row>
    <row r="30" spans="1:17" x14ac:dyDescent="0.2">
      <c r="A30" s="59">
        <v>29</v>
      </c>
      <c r="B30" s="60" t="s">
        <v>24</v>
      </c>
      <c r="C30" s="60" t="s">
        <v>124</v>
      </c>
      <c r="D30" s="60" t="s">
        <v>132</v>
      </c>
      <c r="E30" s="60">
        <v>2.8</v>
      </c>
      <c r="F30" s="60">
        <f>'Fitmint - Walk &amp; Steps Tracker'!D38</f>
        <v>1253</v>
      </c>
      <c r="G30" s="60">
        <v>100000</v>
      </c>
      <c r="H30" s="60">
        <f>'Fitmint - Walk &amp; Steps Tracker'!D42</f>
        <v>7.2317011990290023</v>
      </c>
      <c r="I30" s="62">
        <f>'Results by recommendation categ'!W7</f>
        <v>0.68181818181818177</v>
      </c>
      <c r="J30" s="62">
        <f>'Results by recommendation categ'!W10</f>
        <v>0.58333333333333337</v>
      </c>
      <c r="K30" s="62">
        <f>'Results by recommendation categ'!W16</f>
        <v>0.65625</v>
      </c>
      <c r="L30" s="62">
        <f>'Results by recommendation categ'!X22</f>
        <v>0.66666666666666663</v>
      </c>
      <c r="M30" s="62">
        <f>AVERAGE(Table1[[#This Row],[General Usability Recommendations (GUR)]:[Usability Recommendations for NOT Recommended  Gamification Elements (URUIGE)]])</f>
        <v>0.64701704545454541</v>
      </c>
      <c r="N30" s="63">
        <f>AVERAGE(Table1[[#This Row],[Usability Recommendations for Recommended  Gamification Elements (URSIGE)]:[Usability Recommendations for NOT Recommended  Gamification Elements (URUIGE)]])</f>
        <v>0.66145833333333326</v>
      </c>
      <c r="O30" s="41"/>
      <c r="P30" s="41"/>
      <c r="Q30" s="41"/>
    </row>
    <row r="31" spans="1:17" x14ac:dyDescent="0.2">
      <c r="A31" s="59">
        <v>30</v>
      </c>
      <c r="B31" s="60" t="s">
        <v>120</v>
      </c>
      <c r="C31" s="60" t="s">
        <v>130</v>
      </c>
      <c r="D31" s="60" t="s">
        <v>132</v>
      </c>
      <c r="E31" s="60">
        <v>3.7</v>
      </c>
      <c r="F31" s="60">
        <f>'Workout Quest - Gamified Gym '!D37</f>
        <v>154</v>
      </c>
      <c r="G31" s="60">
        <v>10000</v>
      </c>
      <c r="H31" s="60">
        <f>'Workout Quest - Gamified Gym '!D41</f>
        <v>5.9401667504828168</v>
      </c>
      <c r="I31" s="62">
        <f>'Results by recommendation categ'!AI7</f>
        <v>0.75</v>
      </c>
      <c r="J31" s="62">
        <f>'Results by recommendation categ'!AI10</f>
        <v>0.5</v>
      </c>
      <c r="K31" s="62">
        <f>'Results by recommendation categ'!AI16</f>
        <v>0.61678832116788318</v>
      </c>
      <c r="L31" s="62">
        <f>'Results by recommendation categ'!AI22</f>
        <v>0.6071428571428571</v>
      </c>
      <c r="M31" s="62">
        <f>AVERAGE(Table1[[#This Row],[General Usability Recommendations (GUR)]:[Usability Recommendations for NOT Recommended  Gamification Elements (URUIGE)]])</f>
        <v>0.61848279457768507</v>
      </c>
      <c r="N31" s="63">
        <f>AVERAGE(Table1[[#This Row],[Usability Recommendations for Recommended  Gamification Elements (URSIGE)]:[Usability Recommendations for NOT Recommended  Gamification Elements (URUIGE)]])</f>
        <v>0.61196558915537014</v>
      </c>
      <c r="O31" s="41"/>
      <c r="P31" s="41"/>
      <c r="Q31" s="41"/>
    </row>
    <row r="32" spans="1:17" x14ac:dyDescent="0.2">
      <c r="A32" s="59">
        <v>31</v>
      </c>
      <c r="B32" s="60" t="s">
        <v>30</v>
      </c>
      <c r="C32" s="60" t="s">
        <v>130</v>
      </c>
      <c r="D32" s="60" t="s">
        <v>127</v>
      </c>
      <c r="E32" s="60">
        <v>2.1</v>
      </c>
      <c r="F32" s="60">
        <f>'Death Reminder App'!D37</f>
        <v>154</v>
      </c>
      <c r="G32" s="60">
        <v>1000</v>
      </c>
      <c r="H32" s="60">
        <f>'Death Reminder App'!D41</f>
        <v>5.9401667504828168</v>
      </c>
      <c r="I32" s="62">
        <f>'Results by recommendation categ'!AA7</f>
        <v>0.47368421052631576</v>
      </c>
      <c r="J32" s="62">
        <f>'Results by recommendation categ'!AA10</f>
        <v>0.375</v>
      </c>
      <c r="K32" s="62">
        <f>'Results by recommendation categ'!AA16</f>
        <v>0.58080808080808077</v>
      </c>
      <c r="L32" s="62">
        <f>'Results by recommendation categ'!AA22</f>
        <v>0.48275862068965519</v>
      </c>
      <c r="M32" s="62">
        <f>AVERAGE(Table1[[#This Row],[General Usability Recommendations (GUR)]:[Usability Recommendations for NOT Recommended  Gamification Elements (URUIGE)]])</f>
        <v>0.4780627280060129</v>
      </c>
      <c r="N32" s="63">
        <f>AVERAGE(Table1[[#This Row],[Usability Recommendations for Recommended  Gamification Elements (URSIGE)]:[Usability Recommendations for NOT Recommended  Gamification Elements (URUIGE)]])</f>
        <v>0.53178335074886796</v>
      </c>
      <c r="O32" s="41"/>
      <c r="P32" s="41"/>
      <c r="Q32" s="41"/>
    </row>
    <row r="33" spans="1:17" x14ac:dyDescent="0.2">
      <c r="A33" s="59">
        <v>32</v>
      </c>
      <c r="B33" s="60" t="s">
        <v>32</v>
      </c>
      <c r="C33" s="60" t="s">
        <v>130</v>
      </c>
      <c r="D33" s="60" t="s">
        <v>137</v>
      </c>
      <c r="E33" s="60">
        <v>2.2000000000000002</v>
      </c>
      <c r="F33" s="60">
        <f>'Pharmacy Crack  Rx Drug Trivia'!D36</f>
        <v>37</v>
      </c>
      <c r="G33" s="60">
        <v>10000</v>
      </c>
      <c r="H33" s="60">
        <f>'Pharmacy Crack  Rx Drug Trivia'!D40</f>
        <v>-4.5046203924035533</v>
      </c>
      <c r="I33" s="69">
        <f>'Results by recommendation categ'!AE7</f>
        <v>0.55128205128205132</v>
      </c>
      <c r="J33" s="69">
        <f>'Results by recommendation categ'!AE10</f>
        <v>0.44444444444444442</v>
      </c>
      <c r="K33" s="69">
        <f>'Results by recommendation categ'!AE16</f>
        <v>0.48456790123456789</v>
      </c>
      <c r="L33" s="69">
        <f>'Results by recommendation categ'!AE22</f>
        <v>0.54255319148936165</v>
      </c>
      <c r="M33" s="62">
        <f>AVERAGE(Table1[[#This Row],[General Usability Recommendations (GUR)]:[Usability Recommendations for NOT Recommended  Gamification Elements (URUIGE)]])</f>
        <v>0.50571189711260633</v>
      </c>
      <c r="N33" s="63">
        <f>AVERAGE(Table1[[#This Row],[Usability Recommendations for Recommended  Gamification Elements (URSIGE)]:[Usability Recommendations for NOT Recommended  Gamification Elements (URUIGE)]])</f>
        <v>0.5135605463619648</v>
      </c>
      <c r="O33" s="41"/>
      <c r="P33" s="41"/>
      <c r="Q33" s="41"/>
    </row>
    <row r="34" spans="1:17" x14ac:dyDescent="0.2">
      <c r="A34" s="59">
        <v>33</v>
      </c>
      <c r="B34" s="60" t="s">
        <v>28</v>
      </c>
      <c r="C34" s="60" t="s">
        <v>130</v>
      </c>
      <c r="D34" s="60" t="s">
        <v>138</v>
      </c>
      <c r="E34" s="60">
        <v>3.2</v>
      </c>
      <c r="F34" s="60">
        <f>'Gametize  Explore Experiences'!D37</f>
        <v>131</v>
      </c>
      <c r="G34" s="60">
        <v>50000</v>
      </c>
      <c r="H34" s="60">
        <f>'Gametize  Explore Experiences'!D41</f>
        <v>4.3291235962915664</v>
      </c>
      <c r="I34" s="62">
        <f>'Results by recommendation categ'!AB7</f>
        <v>0.44594594594594594</v>
      </c>
      <c r="J34" s="62">
        <f>'Results by recommendation categ'!AB10</f>
        <v>0.25</v>
      </c>
      <c r="K34" s="62">
        <f>'Results by recommendation categ'!AB16</f>
        <v>0.53626943005181349</v>
      </c>
      <c r="L34" s="62">
        <f>'Results by recommendation categ'!AB22</f>
        <v>0.61111111111111116</v>
      </c>
      <c r="M34" s="62">
        <f>AVERAGE(Table1[[#This Row],[General Usability Recommendations (GUR)]:[Usability Recommendations for NOT Recommended  Gamification Elements (URUIGE)]])</f>
        <v>0.46083162177721765</v>
      </c>
      <c r="N34" s="63">
        <f>AVERAGE(Table1[[#This Row],[Usability Recommendations for Recommended  Gamification Elements (URSIGE)]:[Usability Recommendations for NOT Recommended  Gamification Elements (URUIGE)]])</f>
        <v>0.57369027058146238</v>
      </c>
      <c r="O34" s="41"/>
      <c r="P34" s="41"/>
      <c r="Q34" s="41"/>
    </row>
    <row r="35" spans="1:17" x14ac:dyDescent="0.2">
      <c r="A35" s="70"/>
      <c r="B35" s="71"/>
      <c r="C35" s="71"/>
      <c r="D35" s="71"/>
      <c r="E35" s="71"/>
      <c r="F35" s="71"/>
      <c r="G35" s="72"/>
      <c r="H35" s="71"/>
      <c r="I35" s="73">
        <f t="shared" ref="I35:L35" si="0">AVERAGE(I2:I34)</f>
        <v>0.67997447026226654</v>
      </c>
      <c r="J35" s="73">
        <f t="shared" si="0"/>
        <v>0.50589338760602487</v>
      </c>
      <c r="K35" s="73">
        <f t="shared" si="0"/>
        <v>0.66680285552309537</v>
      </c>
      <c r="L35" s="73">
        <f t="shared" si="0"/>
        <v>0.69380019138983173</v>
      </c>
      <c r="M35" s="73">
        <f>AVERAGE(M2:M34)</f>
        <v>0.63492653941053856</v>
      </c>
      <c r="N35" s="74">
        <f>AVERAGE(N2:N34)</f>
        <v>0.68079092262001784</v>
      </c>
    </row>
    <row r="39" spans="1:17" x14ac:dyDescent="0.2">
      <c r="B39" s="37"/>
      <c r="C39" s="37"/>
      <c r="D39" s="37"/>
      <c r="E39" s="37"/>
    </row>
    <row r="40" spans="1:17" x14ac:dyDescent="0.2">
      <c r="B40" s="37"/>
      <c r="C40" s="37"/>
      <c r="D40" s="37"/>
      <c r="E40" s="37"/>
    </row>
    <row r="41" spans="1:17" x14ac:dyDescent="0.2">
      <c r="B41" s="37"/>
      <c r="C41" s="37"/>
      <c r="D41" s="37"/>
      <c r="E41" s="37"/>
    </row>
    <row r="42" spans="1:17" x14ac:dyDescent="0.2">
      <c r="B42" s="37"/>
      <c r="C42" s="37"/>
      <c r="D42" s="37"/>
      <c r="E42" s="37"/>
    </row>
    <row r="43" spans="1:17" x14ac:dyDescent="0.2">
      <c r="B43" s="37"/>
      <c r="C43" s="37"/>
      <c r="D43" s="37"/>
      <c r="E43" s="37"/>
    </row>
  </sheetData>
  <phoneticPr fontId="11" type="noConversion"/>
  <conditionalFormatting sqref="E2:E34">
    <cfRule type="cellIs" dxfId="5" priority="8" operator="between">
      <formula>3</formula>
      <formula>3.9</formula>
    </cfRule>
    <cfRule type="cellIs" dxfId="4" priority="9" operator="lessThan">
      <formula>3</formula>
    </cfRule>
    <cfRule type="cellIs" dxfId="3" priority="10" operator="greaterThanOrEqual">
      <formula>4</formula>
    </cfRule>
  </conditionalFormatting>
  <conditionalFormatting sqref="I2:Q34">
    <cfRule type="cellIs" dxfId="2" priority="1" operator="greaterThanOrEqual">
      <formula>70%</formula>
    </cfRule>
    <cfRule type="cellIs" dxfId="1" priority="2" operator="between">
      <formula>50%</formula>
      <formula>69%</formula>
    </cfRule>
    <cfRule type="cellIs" dxfId="0" priority="3" operator="between">
      <formula>1%</formula>
      <formula>0.5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83C8-FBE2-204D-8DD3-AE922FADC9F9}">
  <sheetPr codeName="Sheet2"/>
  <dimension ref="A1:AI24"/>
  <sheetViews>
    <sheetView zoomScale="114" zoomScaleNormal="165" workbookViewId="0">
      <selection activeCell="B44" sqref="B44"/>
    </sheetView>
  </sheetViews>
  <sheetFormatPr baseColWidth="10" defaultColWidth="11" defaultRowHeight="16" x14ac:dyDescent="0.2"/>
  <cols>
    <col min="1" max="1" width="28.1640625" customWidth="1"/>
    <col min="2" max="2" width="57.1640625" customWidth="1"/>
    <col min="3" max="3" width="15.5" customWidth="1"/>
    <col min="4" max="4" width="15.6640625" customWidth="1"/>
    <col min="5" max="6" width="15.5" customWidth="1"/>
    <col min="7" max="12" width="18.1640625" customWidth="1"/>
    <col min="13" max="13" width="12.5" customWidth="1"/>
    <col min="14" max="18" width="18.6640625" customWidth="1"/>
    <col min="19" max="19" width="27.5" customWidth="1"/>
    <col min="24" max="24" width="27.33203125" customWidth="1"/>
    <col min="25" max="25" width="27" customWidth="1"/>
    <col min="26" max="26" width="27.33203125" customWidth="1"/>
    <col min="27" max="27" width="20" customWidth="1"/>
    <col min="28" max="28" width="31" customWidth="1"/>
    <col min="29" max="29" width="31.5" customWidth="1"/>
    <col min="30" max="30" width="17.6640625" customWidth="1"/>
    <col min="31" max="31" width="29.33203125" customWidth="1"/>
    <col min="32" max="32" width="18.6640625" customWidth="1"/>
    <col min="34" max="34" width="28.6640625" customWidth="1"/>
    <col min="35" max="35" width="28.33203125" customWidth="1"/>
  </cols>
  <sheetData>
    <row r="1" spans="1:35" ht="19" thickBot="1" x14ac:dyDescent="0.3">
      <c r="A1" s="20" t="s">
        <v>35</v>
      </c>
      <c r="B1" s="21" t="s">
        <v>36</v>
      </c>
      <c r="C1" s="17" t="s">
        <v>4</v>
      </c>
      <c r="D1" s="17" t="s">
        <v>18</v>
      </c>
      <c r="E1" s="17" t="s">
        <v>7</v>
      </c>
      <c r="F1" s="17" t="s">
        <v>11</v>
      </c>
      <c r="G1" s="17" t="s">
        <v>37</v>
      </c>
      <c r="H1" s="18" t="s">
        <v>9</v>
      </c>
      <c r="I1" s="17" t="s">
        <v>12</v>
      </c>
      <c r="J1" s="18" t="s">
        <v>14</v>
      </c>
      <c r="K1" s="18" t="s">
        <v>5</v>
      </c>
      <c r="L1" s="18" t="s">
        <v>13</v>
      </c>
      <c r="M1" s="17" t="s">
        <v>6</v>
      </c>
      <c r="N1" s="18" t="s">
        <v>10</v>
      </c>
      <c r="O1" s="18" t="s">
        <v>38</v>
      </c>
      <c r="P1" s="18" t="s">
        <v>8</v>
      </c>
      <c r="Q1" s="18" t="s">
        <v>20</v>
      </c>
      <c r="R1" s="18" t="s">
        <v>39</v>
      </c>
      <c r="S1" s="18" t="s">
        <v>22</v>
      </c>
      <c r="T1" s="18" t="s">
        <v>19</v>
      </c>
      <c r="U1" s="18" t="s">
        <v>40</v>
      </c>
      <c r="V1" s="18" t="s">
        <v>41</v>
      </c>
      <c r="W1" s="18" t="s">
        <v>42</v>
      </c>
      <c r="X1" s="18" t="s">
        <v>26</v>
      </c>
      <c r="Y1" s="17" t="s">
        <v>27</v>
      </c>
      <c r="Z1" s="17" t="s">
        <v>34</v>
      </c>
      <c r="AA1" s="18" t="s">
        <v>43</v>
      </c>
      <c r="AB1" s="18" t="s">
        <v>28</v>
      </c>
      <c r="AC1" s="18" t="s">
        <v>29</v>
      </c>
      <c r="AD1" s="18" t="s">
        <v>31</v>
      </c>
      <c r="AE1" s="18" t="s">
        <v>32</v>
      </c>
      <c r="AF1" s="18" t="s">
        <v>17</v>
      </c>
      <c r="AG1" s="18" t="s">
        <v>33</v>
      </c>
      <c r="AH1" s="18" t="s">
        <v>119</v>
      </c>
      <c r="AI1" s="38" t="s">
        <v>120</v>
      </c>
    </row>
    <row r="2" spans="1:35" ht="18" thickTop="1" x14ac:dyDescent="0.2">
      <c r="A2" s="173" t="s">
        <v>142</v>
      </c>
      <c r="B2" s="22" t="s">
        <v>44</v>
      </c>
      <c r="C2" s="23">
        <v>38</v>
      </c>
      <c r="D2" s="23">
        <v>51</v>
      </c>
      <c r="E2" s="23">
        <v>11</v>
      </c>
      <c r="F2" s="23">
        <f>F3+F4+F5</f>
        <v>70</v>
      </c>
      <c r="G2" s="23">
        <f>G3+G4+G5</f>
        <v>52</v>
      </c>
      <c r="H2" s="23">
        <f>SUM(H3:H5)</f>
        <v>18</v>
      </c>
      <c r="I2" s="23">
        <f t="shared" ref="I2:K2" si="0">SUM(I3:I5)</f>
        <v>64</v>
      </c>
      <c r="J2" s="23">
        <f t="shared" si="0"/>
        <v>21</v>
      </c>
      <c r="K2" s="23">
        <f t="shared" si="0"/>
        <v>38</v>
      </c>
      <c r="L2" s="23">
        <f>L3+L4+L5</f>
        <v>37</v>
      </c>
      <c r="M2" s="23">
        <v>11</v>
      </c>
      <c r="N2" s="23">
        <f>N3+N4+N5</f>
        <v>41</v>
      </c>
      <c r="O2" s="23">
        <f>O5+O4+O3</f>
        <v>53</v>
      </c>
      <c r="P2" s="23">
        <f>P3+P4+P5</f>
        <v>21</v>
      </c>
      <c r="Q2" s="23">
        <f>Q3+Q4+Q5</f>
        <v>20</v>
      </c>
      <c r="R2" s="23">
        <v>3</v>
      </c>
      <c r="S2" s="23">
        <f t="shared" ref="S2:AI2" si="1">S3+S4+S5</f>
        <v>21</v>
      </c>
      <c r="T2" s="23">
        <f t="shared" si="1"/>
        <v>21</v>
      </c>
      <c r="U2" s="23">
        <f t="shared" si="1"/>
        <v>20</v>
      </c>
      <c r="V2" s="23">
        <f t="shared" si="1"/>
        <v>24</v>
      </c>
      <c r="W2" s="23">
        <f t="shared" si="1"/>
        <v>11</v>
      </c>
      <c r="X2" s="23">
        <f t="shared" si="1"/>
        <v>21</v>
      </c>
      <c r="Y2" s="23">
        <f t="shared" si="1"/>
        <v>20</v>
      </c>
      <c r="Z2" s="23">
        <f t="shared" si="1"/>
        <v>62</v>
      </c>
      <c r="AA2" s="23">
        <f t="shared" si="1"/>
        <v>19</v>
      </c>
      <c r="AB2" s="23">
        <f t="shared" si="1"/>
        <v>37</v>
      </c>
      <c r="AC2" s="23">
        <f t="shared" si="1"/>
        <v>20</v>
      </c>
      <c r="AD2" s="23">
        <f t="shared" si="1"/>
        <v>50</v>
      </c>
      <c r="AE2" s="23">
        <f t="shared" si="1"/>
        <v>39</v>
      </c>
      <c r="AF2" s="23">
        <f t="shared" si="1"/>
        <v>36</v>
      </c>
      <c r="AG2" s="23">
        <f t="shared" si="1"/>
        <v>2</v>
      </c>
      <c r="AH2" s="23">
        <f t="shared" si="1"/>
        <v>21</v>
      </c>
      <c r="AI2" s="24">
        <f t="shared" si="1"/>
        <v>2</v>
      </c>
    </row>
    <row r="3" spans="1:35" ht="17" x14ac:dyDescent="0.2">
      <c r="A3" s="174"/>
      <c r="B3" s="1" t="s">
        <v>148</v>
      </c>
      <c r="C3">
        <v>24</v>
      </c>
      <c r="D3">
        <v>34</v>
      </c>
      <c r="E3">
        <v>10</v>
      </c>
      <c r="F3">
        <v>39</v>
      </c>
      <c r="G3">
        <v>34</v>
      </c>
      <c r="H3">
        <v>10</v>
      </c>
      <c r="I3">
        <v>45</v>
      </c>
      <c r="J3">
        <v>16</v>
      </c>
      <c r="K3">
        <v>24</v>
      </c>
      <c r="L3">
        <v>27</v>
      </c>
      <c r="M3">
        <v>9</v>
      </c>
      <c r="N3">
        <v>26</v>
      </c>
      <c r="O3">
        <v>36</v>
      </c>
      <c r="P3">
        <v>14</v>
      </c>
      <c r="Q3">
        <v>12</v>
      </c>
      <c r="R3">
        <v>1</v>
      </c>
      <c r="S3">
        <v>13</v>
      </c>
      <c r="T3">
        <v>15</v>
      </c>
      <c r="U3">
        <v>8</v>
      </c>
      <c r="V3">
        <v>11</v>
      </c>
      <c r="W3">
        <v>6</v>
      </c>
      <c r="X3">
        <v>12</v>
      </c>
      <c r="Y3">
        <v>12</v>
      </c>
      <c r="Z3">
        <v>30</v>
      </c>
      <c r="AA3">
        <v>7</v>
      </c>
      <c r="AB3">
        <v>12</v>
      </c>
      <c r="AC3">
        <v>12</v>
      </c>
      <c r="AD3">
        <v>22</v>
      </c>
      <c r="AE3">
        <v>16</v>
      </c>
      <c r="AF3">
        <v>25</v>
      </c>
      <c r="AG3">
        <v>1</v>
      </c>
      <c r="AH3">
        <v>10</v>
      </c>
      <c r="AI3" s="25">
        <v>1</v>
      </c>
    </row>
    <row r="4" spans="1:35" ht="17" x14ac:dyDescent="0.2">
      <c r="A4" s="174"/>
      <c r="B4" s="1" t="s">
        <v>149</v>
      </c>
      <c r="C4">
        <v>6</v>
      </c>
      <c r="D4">
        <v>7</v>
      </c>
      <c r="E4">
        <v>0</v>
      </c>
      <c r="F4">
        <v>15</v>
      </c>
      <c r="G4">
        <v>4</v>
      </c>
      <c r="H4">
        <v>3</v>
      </c>
      <c r="I4">
        <v>9</v>
      </c>
      <c r="J4">
        <v>5</v>
      </c>
      <c r="K4">
        <v>6</v>
      </c>
      <c r="L4">
        <v>6</v>
      </c>
      <c r="M4">
        <v>1</v>
      </c>
      <c r="N4">
        <v>10</v>
      </c>
      <c r="O4">
        <v>6</v>
      </c>
      <c r="P4">
        <v>3</v>
      </c>
      <c r="Q4">
        <v>4</v>
      </c>
      <c r="R4">
        <v>1</v>
      </c>
      <c r="S4">
        <v>2</v>
      </c>
      <c r="T4">
        <v>3</v>
      </c>
      <c r="U4">
        <v>8</v>
      </c>
      <c r="V4">
        <v>6</v>
      </c>
      <c r="W4">
        <v>3</v>
      </c>
      <c r="X4">
        <v>5</v>
      </c>
      <c r="Y4">
        <v>4</v>
      </c>
      <c r="Z4">
        <v>11</v>
      </c>
      <c r="AA4">
        <v>4</v>
      </c>
      <c r="AB4">
        <v>9</v>
      </c>
      <c r="AC4">
        <v>3</v>
      </c>
      <c r="AD4">
        <v>11</v>
      </c>
      <c r="AE4">
        <v>11</v>
      </c>
      <c r="AF4">
        <v>4</v>
      </c>
      <c r="AG4">
        <v>0</v>
      </c>
      <c r="AH4">
        <v>7</v>
      </c>
      <c r="AI4" s="25">
        <v>1</v>
      </c>
    </row>
    <row r="5" spans="1:35" ht="17" x14ac:dyDescent="0.2">
      <c r="A5" s="174"/>
      <c r="B5" s="1" t="s">
        <v>150</v>
      </c>
      <c r="C5">
        <v>8</v>
      </c>
      <c r="D5">
        <v>10</v>
      </c>
      <c r="E5">
        <v>1</v>
      </c>
      <c r="F5">
        <v>16</v>
      </c>
      <c r="G5">
        <v>14</v>
      </c>
      <c r="H5">
        <v>5</v>
      </c>
      <c r="I5">
        <v>10</v>
      </c>
      <c r="J5">
        <v>0</v>
      </c>
      <c r="K5">
        <v>8</v>
      </c>
      <c r="L5">
        <v>4</v>
      </c>
      <c r="M5">
        <v>1</v>
      </c>
      <c r="N5">
        <v>5</v>
      </c>
      <c r="O5">
        <v>11</v>
      </c>
      <c r="P5">
        <v>4</v>
      </c>
      <c r="Q5">
        <v>4</v>
      </c>
      <c r="R5">
        <v>1</v>
      </c>
      <c r="S5">
        <v>6</v>
      </c>
      <c r="T5">
        <v>3</v>
      </c>
      <c r="U5">
        <v>4</v>
      </c>
      <c r="V5">
        <v>7</v>
      </c>
      <c r="W5">
        <v>2</v>
      </c>
      <c r="X5">
        <v>4</v>
      </c>
      <c r="Y5">
        <v>4</v>
      </c>
      <c r="Z5">
        <v>21</v>
      </c>
      <c r="AA5">
        <v>8</v>
      </c>
      <c r="AB5">
        <v>16</v>
      </c>
      <c r="AC5">
        <v>5</v>
      </c>
      <c r="AD5">
        <v>17</v>
      </c>
      <c r="AE5">
        <v>12</v>
      </c>
      <c r="AF5">
        <v>7</v>
      </c>
      <c r="AG5">
        <v>1</v>
      </c>
      <c r="AH5">
        <v>4</v>
      </c>
      <c r="AI5" s="25">
        <v>0</v>
      </c>
    </row>
    <row r="6" spans="1:35" ht="17" x14ac:dyDescent="0.2">
      <c r="A6" s="174"/>
      <c r="B6" s="1" t="s">
        <v>156</v>
      </c>
      <c r="C6" s="5">
        <f>(C3+(C4*0.5))</f>
        <v>27</v>
      </c>
      <c r="D6" s="5">
        <f t="shared" ref="D6:AI6" si="2">(D3+(D4*0.5))</f>
        <v>37.5</v>
      </c>
      <c r="E6" s="5">
        <f t="shared" si="2"/>
        <v>10</v>
      </c>
      <c r="F6" s="5">
        <f t="shared" si="2"/>
        <v>46.5</v>
      </c>
      <c r="G6">
        <f t="shared" si="2"/>
        <v>36</v>
      </c>
      <c r="H6">
        <f t="shared" si="2"/>
        <v>11.5</v>
      </c>
      <c r="I6">
        <f t="shared" si="2"/>
        <v>49.5</v>
      </c>
      <c r="J6">
        <f t="shared" si="2"/>
        <v>18.5</v>
      </c>
      <c r="K6">
        <f t="shared" ref="K6:L6" si="3">(K3+(K4*0.5))</f>
        <v>27</v>
      </c>
      <c r="L6">
        <f t="shared" si="3"/>
        <v>30</v>
      </c>
      <c r="M6">
        <f t="shared" si="2"/>
        <v>9.5</v>
      </c>
      <c r="N6">
        <f t="shared" si="2"/>
        <v>31</v>
      </c>
      <c r="O6">
        <f t="shared" si="2"/>
        <v>39</v>
      </c>
      <c r="P6">
        <f t="shared" si="2"/>
        <v>15.5</v>
      </c>
      <c r="Q6">
        <f t="shared" si="2"/>
        <v>14</v>
      </c>
      <c r="R6">
        <f t="shared" si="2"/>
        <v>1.5</v>
      </c>
      <c r="S6">
        <f t="shared" si="2"/>
        <v>14</v>
      </c>
      <c r="T6">
        <f t="shared" si="2"/>
        <v>16.5</v>
      </c>
      <c r="U6">
        <f t="shared" si="2"/>
        <v>12</v>
      </c>
      <c r="V6">
        <f t="shared" si="2"/>
        <v>14</v>
      </c>
      <c r="W6">
        <f t="shared" si="2"/>
        <v>7.5</v>
      </c>
      <c r="X6">
        <f t="shared" si="2"/>
        <v>14.5</v>
      </c>
      <c r="Y6">
        <f t="shared" si="2"/>
        <v>14</v>
      </c>
      <c r="Z6">
        <f t="shared" si="2"/>
        <v>35.5</v>
      </c>
      <c r="AA6">
        <f t="shared" si="2"/>
        <v>9</v>
      </c>
      <c r="AB6">
        <f t="shared" si="2"/>
        <v>16.5</v>
      </c>
      <c r="AC6">
        <f t="shared" si="2"/>
        <v>13.5</v>
      </c>
      <c r="AD6">
        <f t="shared" si="2"/>
        <v>27.5</v>
      </c>
      <c r="AE6">
        <f t="shared" si="2"/>
        <v>21.5</v>
      </c>
      <c r="AF6">
        <f t="shared" si="2"/>
        <v>27</v>
      </c>
      <c r="AG6">
        <f t="shared" si="2"/>
        <v>1</v>
      </c>
      <c r="AH6">
        <f t="shared" si="2"/>
        <v>13.5</v>
      </c>
      <c r="AI6">
        <f t="shared" si="2"/>
        <v>1.5</v>
      </c>
    </row>
    <row r="7" spans="1:35" ht="17" x14ac:dyDescent="0.2">
      <c r="A7" s="175"/>
      <c r="B7" s="26" t="s">
        <v>157</v>
      </c>
      <c r="C7" s="27">
        <f t="shared" ref="C7:AA7" si="4">C6/C2</f>
        <v>0.71052631578947367</v>
      </c>
      <c r="D7" s="27">
        <f t="shared" si="4"/>
        <v>0.73529411764705888</v>
      </c>
      <c r="E7" s="27">
        <f t="shared" si="4"/>
        <v>0.90909090909090906</v>
      </c>
      <c r="F7" s="28">
        <f t="shared" si="4"/>
        <v>0.66428571428571426</v>
      </c>
      <c r="G7" s="29">
        <f t="shared" si="4"/>
        <v>0.69230769230769229</v>
      </c>
      <c r="H7" s="29">
        <f t="shared" si="4"/>
        <v>0.63888888888888884</v>
      </c>
      <c r="I7" s="30">
        <f t="shared" si="4"/>
        <v>0.7734375</v>
      </c>
      <c r="J7" s="30">
        <f t="shared" ref="J7:K7" si="5">J6/J2</f>
        <v>0.88095238095238093</v>
      </c>
      <c r="K7" s="30">
        <f t="shared" si="5"/>
        <v>0.71052631578947367</v>
      </c>
      <c r="L7" s="30">
        <f>L6/L2</f>
        <v>0.81081081081081086</v>
      </c>
      <c r="M7" s="30">
        <f t="shared" si="4"/>
        <v>0.86363636363636365</v>
      </c>
      <c r="N7" s="30">
        <f t="shared" si="4"/>
        <v>0.75609756097560976</v>
      </c>
      <c r="O7" s="30">
        <f t="shared" si="4"/>
        <v>0.73584905660377353</v>
      </c>
      <c r="P7" s="30">
        <f t="shared" si="4"/>
        <v>0.73809523809523814</v>
      </c>
      <c r="Q7" s="30">
        <f t="shared" si="4"/>
        <v>0.7</v>
      </c>
      <c r="R7" s="30">
        <f t="shared" si="4"/>
        <v>0.5</v>
      </c>
      <c r="S7" s="29">
        <f t="shared" si="4"/>
        <v>0.66666666666666663</v>
      </c>
      <c r="T7" s="30">
        <f t="shared" si="4"/>
        <v>0.7857142857142857</v>
      </c>
      <c r="U7" s="29">
        <f t="shared" si="4"/>
        <v>0.6</v>
      </c>
      <c r="V7" s="29">
        <f t="shared" si="4"/>
        <v>0.58333333333333337</v>
      </c>
      <c r="W7" s="29">
        <f t="shared" si="4"/>
        <v>0.68181818181818177</v>
      </c>
      <c r="X7" s="29">
        <f t="shared" si="4"/>
        <v>0.69047619047619047</v>
      </c>
      <c r="Y7" s="30">
        <f t="shared" si="4"/>
        <v>0.7</v>
      </c>
      <c r="Z7" s="29">
        <f t="shared" si="4"/>
        <v>0.57258064516129037</v>
      </c>
      <c r="AA7" s="39">
        <f t="shared" si="4"/>
        <v>0.47368421052631576</v>
      </c>
      <c r="AB7" s="39">
        <f>AB6/AB2</f>
        <v>0.44594594594594594</v>
      </c>
      <c r="AC7" s="29">
        <f>AC6/AC2</f>
        <v>0.67500000000000004</v>
      </c>
      <c r="AD7" s="29">
        <f t="shared" ref="AD7:AI7" si="6">AD6/AD2</f>
        <v>0.55000000000000004</v>
      </c>
      <c r="AE7" s="29">
        <f t="shared" si="6"/>
        <v>0.55128205128205132</v>
      </c>
      <c r="AF7" s="30">
        <f t="shared" si="6"/>
        <v>0.75</v>
      </c>
      <c r="AG7" s="29">
        <f t="shared" si="6"/>
        <v>0.5</v>
      </c>
      <c r="AH7" s="29">
        <f t="shared" si="6"/>
        <v>0.6428571428571429</v>
      </c>
      <c r="AI7" s="30">
        <f t="shared" si="6"/>
        <v>0.75</v>
      </c>
    </row>
    <row r="8" spans="1:35" ht="17" customHeight="1" x14ac:dyDescent="0.2">
      <c r="A8" s="173" t="s">
        <v>143</v>
      </c>
      <c r="B8" s="31" t="s">
        <v>48</v>
      </c>
      <c r="C8" s="23">
        <v>17</v>
      </c>
      <c r="D8" s="23">
        <v>13</v>
      </c>
      <c r="E8" s="23">
        <v>12</v>
      </c>
      <c r="F8" s="23">
        <v>22</v>
      </c>
      <c r="G8" s="23">
        <v>13</v>
      </c>
      <c r="H8" s="23">
        <v>8</v>
      </c>
      <c r="I8" s="23">
        <v>38</v>
      </c>
      <c r="J8" s="23">
        <v>15</v>
      </c>
      <c r="K8" s="23">
        <v>17</v>
      </c>
      <c r="L8" s="23">
        <v>17</v>
      </c>
      <c r="M8" s="23">
        <v>12</v>
      </c>
      <c r="N8" s="23">
        <v>15</v>
      </c>
      <c r="O8" s="23">
        <v>13</v>
      </c>
      <c r="P8" s="23">
        <v>19</v>
      </c>
      <c r="Q8" s="23">
        <v>8</v>
      </c>
      <c r="R8" s="23">
        <v>11</v>
      </c>
      <c r="S8" s="23">
        <v>8</v>
      </c>
      <c r="T8" s="23">
        <v>8</v>
      </c>
      <c r="U8" s="23">
        <v>15</v>
      </c>
      <c r="V8" s="23">
        <v>17</v>
      </c>
      <c r="W8" s="23">
        <v>12</v>
      </c>
      <c r="X8" s="23">
        <v>15</v>
      </c>
      <c r="Y8" s="23">
        <v>15</v>
      </c>
      <c r="Z8" s="23">
        <v>38</v>
      </c>
      <c r="AA8" s="23">
        <v>8</v>
      </c>
      <c r="AB8" s="23">
        <v>24</v>
      </c>
      <c r="AC8" s="23">
        <v>15</v>
      </c>
      <c r="AD8" s="23">
        <v>13</v>
      </c>
      <c r="AE8" s="23">
        <v>18</v>
      </c>
      <c r="AF8" s="23">
        <v>17</v>
      </c>
      <c r="AG8" s="23">
        <v>12</v>
      </c>
      <c r="AH8" s="23">
        <v>15</v>
      </c>
      <c r="AI8" s="24">
        <v>12</v>
      </c>
    </row>
    <row r="9" spans="1:35" ht="17" x14ac:dyDescent="0.2">
      <c r="A9" s="174"/>
      <c r="B9" s="3" t="s">
        <v>49</v>
      </c>
      <c r="C9">
        <v>14</v>
      </c>
      <c r="D9">
        <v>8</v>
      </c>
      <c r="E9">
        <v>7</v>
      </c>
      <c r="F9">
        <v>16</v>
      </c>
      <c r="G9">
        <v>5</v>
      </c>
      <c r="H9">
        <v>3</v>
      </c>
      <c r="I9">
        <v>20</v>
      </c>
      <c r="J9">
        <v>11</v>
      </c>
      <c r="K9">
        <v>9</v>
      </c>
      <c r="L9">
        <v>12</v>
      </c>
      <c r="M9">
        <v>10</v>
      </c>
      <c r="N9">
        <v>11</v>
      </c>
      <c r="O9">
        <v>10</v>
      </c>
      <c r="P9">
        <v>10</v>
      </c>
      <c r="Q9">
        <v>5</v>
      </c>
      <c r="R9">
        <v>6</v>
      </c>
      <c r="S9">
        <v>5</v>
      </c>
      <c r="T9">
        <v>5</v>
      </c>
      <c r="U9">
        <v>6</v>
      </c>
      <c r="V9">
        <v>6</v>
      </c>
      <c r="W9">
        <v>7</v>
      </c>
      <c r="X9">
        <v>5</v>
      </c>
      <c r="Y9">
        <v>2</v>
      </c>
      <c r="Z9">
        <v>5</v>
      </c>
      <c r="AA9">
        <v>3</v>
      </c>
      <c r="AB9">
        <v>6</v>
      </c>
      <c r="AC9">
        <v>4</v>
      </c>
      <c r="AD9">
        <v>4</v>
      </c>
      <c r="AE9">
        <v>8</v>
      </c>
      <c r="AF9">
        <v>9</v>
      </c>
      <c r="AG9">
        <v>4</v>
      </c>
      <c r="AH9">
        <v>7</v>
      </c>
      <c r="AI9" s="25">
        <v>6</v>
      </c>
    </row>
    <row r="10" spans="1:35" ht="17" x14ac:dyDescent="0.2">
      <c r="A10" s="174"/>
      <c r="B10" s="2" t="s">
        <v>47</v>
      </c>
      <c r="C10" s="15">
        <f>C9/C8</f>
        <v>0.82352941176470584</v>
      </c>
      <c r="D10" s="16">
        <f t="shared" ref="D10:AI10" si="7">D9/D8</f>
        <v>0.61538461538461542</v>
      </c>
      <c r="E10" s="16">
        <f t="shared" si="7"/>
        <v>0.58333333333333337</v>
      </c>
      <c r="F10" s="15">
        <f t="shared" si="7"/>
        <v>0.72727272727272729</v>
      </c>
      <c r="G10" s="32">
        <f t="shared" si="7"/>
        <v>0.38461538461538464</v>
      </c>
      <c r="H10" s="32">
        <f t="shared" si="7"/>
        <v>0.375</v>
      </c>
      <c r="I10" s="36">
        <f t="shared" si="7"/>
        <v>0.52631578947368418</v>
      </c>
      <c r="J10" s="19">
        <f>J9/J8</f>
        <v>0.73333333333333328</v>
      </c>
      <c r="K10" s="36">
        <f t="shared" ref="K10:L10" si="8">K9/K8</f>
        <v>0.52941176470588236</v>
      </c>
      <c r="L10" s="19">
        <f t="shared" si="8"/>
        <v>0.70588235294117652</v>
      </c>
      <c r="M10" s="19">
        <f t="shared" si="7"/>
        <v>0.83333333333333337</v>
      </c>
      <c r="N10" s="19">
        <f t="shared" si="7"/>
        <v>0.73333333333333328</v>
      </c>
      <c r="O10" s="19">
        <f t="shared" si="7"/>
        <v>0.76923076923076927</v>
      </c>
      <c r="P10" s="36">
        <f t="shared" si="7"/>
        <v>0.52631578947368418</v>
      </c>
      <c r="Q10" s="36">
        <f t="shared" si="7"/>
        <v>0.625</v>
      </c>
      <c r="R10" s="36">
        <f t="shared" si="7"/>
        <v>0.54545454545454541</v>
      </c>
      <c r="S10" s="36">
        <f t="shared" si="7"/>
        <v>0.625</v>
      </c>
      <c r="T10" s="36">
        <f t="shared" si="7"/>
        <v>0.625</v>
      </c>
      <c r="U10" s="32">
        <f t="shared" si="7"/>
        <v>0.4</v>
      </c>
      <c r="V10" s="32">
        <f t="shared" si="7"/>
        <v>0.35294117647058826</v>
      </c>
      <c r="W10" s="36">
        <f t="shared" si="7"/>
        <v>0.58333333333333337</v>
      </c>
      <c r="X10" s="32">
        <f t="shared" si="7"/>
        <v>0.33333333333333331</v>
      </c>
      <c r="Y10" s="32">
        <f t="shared" si="7"/>
        <v>0.13333333333333333</v>
      </c>
      <c r="Z10" s="32">
        <f t="shared" si="7"/>
        <v>0.13157894736842105</v>
      </c>
      <c r="AA10" s="32">
        <f t="shared" si="7"/>
        <v>0.375</v>
      </c>
      <c r="AB10" s="32">
        <f t="shared" si="7"/>
        <v>0.25</v>
      </c>
      <c r="AC10" s="32">
        <f t="shared" si="7"/>
        <v>0.26666666666666666</v>
      </c>
      <c r="AD10" s="32">
        <f t="shared" si="7"/>
        <v>0.30769230769230771</v>
      </c>
      <c r="AE10" s="32">
        <f t="shared" si="7"/>
        <v>0.44444444444444442</v>
      </c>
      <c r="AF10" s="36">
        <f t="shared" si="7"/>
        <v>0.52941176470588236</v>
      </c>
      <c r="AG10" s="32">
        <f t="shared" si="7"/>
        <v>0.33333333333333331</v>
      </c>
      <c r="AH10" s="32">
        <f t="shared" si="7"/>
        <v>0.46666666666666667</v>
      </c>
      <c r="AI10" s="36">
        <f t="shared" si="7"/>
        <v>0.5</v>
      </c>
    </row>
    <row r="11" spans="1:35" ht="34" x14ac:dyDescent="0.2">
      <c r="A11" s="173" t="s">
        <v>144</v>
      </c>
      <c r="B11" s="40" t="s">
        <v>50</v>
      </c>
      <c r="C11">
        <v>584</v>
      </c>
      <c r="D11">
        <v>267</v>
      </c>
      <c r="E11">
        <v>121</v>
      </c>
      <c r="F11">
        <v>550</v>
      </c>
      <c r="G11">
        <v>126</v>
      </c>
      <c r="H11">
        <v>85</v>
      </c>
      <c r="I11">
        <v>355</v>
      </c>
      <c r="J11">
        <v>194</v>
      </c>
      <c r="K11">
        <v>342</v>
      </c>
      <c r="L11">
        <v>294</v>
      </c>
      <c r="M11">
        <v>224</v>
      </c>
      <c r="N11">
        <v>349</v>
      </c>
      <c r="O11">
        <v>391</v>
      </c>
      <c r="P11">
        <v>210</v>
      </c>
      <c r="Q11">
        <v>122</v>
      </c>
      <c r="R11">
        <v>150</v>
      </c>
      <c r="S11">
        <v>148</v>
      </c>
      <c r="T11">
        <v>165</v>
      </c>
      <c r="U11">
        <v>217</v>
      </c>
      <c r="V11">
        <v>140</v>
      </c>
      <c r="W11">
        <v>128</v>
      </c>
      <c r="X11">
        <v>97</v>
      </c>
      <c r="Y11">
        <v>73</v>
      </c>
      <c r="Z11">
        <v>105</v>
      </c>
      <c r="AA11">
        <v>99</v>
      </c>
      <c r="AB11">
        <v>193</v>
      </c>
      <c r="AC11">
        <v>76</v>
      </c>
      <c r="AD11">
        <v>182</v>
      </c>
      <c r="AE11">
        <v>324</v>
      </c>
      <c r="AF11">
        <v>376</v>
      </c>
      <c r="AG11">
        <v>71</v>
      </c>
      <c r="AH11">
        <v>132</v>
      </c>
      <c r="AI11" s="25">
        <v>137</v>
      </c>
    </row>
    <row r="12" spans="1:35" ht="17" x14ac:dyDescent="0.2">
      <c r="A12" s="174"/>
      <c r="B12" s="4" t="s">
        <v>148</v>
      </c>
      <c r="C12">
        <v>354</v>
      </c>
      <c r="D12">
        <v>143</v>
      </c>
      <c r="E12">
        <v>75</v>
      </c>
      <c r="F12">
        <v>377</v>
      </c>
      <c r="G12">
        <v>65</v>
      </c>
      <c r="H12">
        <v>53</v>
      </c>
      <c r="I12">
        <v>256</v>
      </c>
      <c r="J12">
        <v>115</v>
      </c>
      <c r="K12">
        <v>207</v>
      </c>
      <c r="L12">
        <v>213</v>
      </c>
      <c r="M12">
        <v>155</v>
      </c>
      <c r="N12">
        <v>258</v>
      </c>
      <c r="O12">
        <v>257</v>
      </c>
      <c r="P12">
        <v>154</v>
      </c>
      <c r="Q12">
        <v>80</v>
      </c>
      <c r="R12">
        <v>92</v>
      </c>
      <c r="S12">
        <v>97</v>
      </c>
      <c r="T12">
        <v>113</v>
      </c>
      <c r="U12">
        <v>122</v>
      </c>
      <c r="V12">
        <v>76</v>
      </c>
      <c r="W12">
        <v>73</v>
      </c>
      <c r="X12">
        <v>47</v>
      </c>
      <c r="Y12">
        <v>31</v>
      </c>
      <c r="Z12">
        <v>56</v>
      </c>
      <c r="AA12">
        <v>50</v>
      </c>
      <c r="AB12">
        <v>84</v>
      </c>
      <c r="AC12">
        <v>45</v>
      </c>
      <c r="AD12">
        <v>66</v>
      </c>
      <c r="AE12">
        <v>131</v>
      </c>
      <c r="AF12">
        <v>269</v>
      </c>
      <c r="AG12">
        <v>26</v>
      </c>
      <c r="AH12">
        <v>46</v>
      </c>
      <c r="AI12" s="25">
        <v>75</v>
      </c>
    </row>
    <row r="13" spans="1:35" ht="17" x14ac:dyDescent="0.2">
      <c r="A13" s="174"/>
      <c r="B13" s="4" t="s">
        <v>149</v>
      </c>
      <c r="C13">
        <v>122</v>
      </c>
      <c r="D13">
        <v>56</v>
      </c>
      <c r="E13">
        <v>20</v>
      </c>
      <c r="F13">
        <v>86</v>
      </c>
      <c r="G13">
        <v>21</v>
      </c>
      <c r="H13">
        <v>13</v>
      </c>
      <c r="I13">
        <v>52</v>
      </c>
      <c r="J13">
        <v>23</v>
      </c>
      <c r="K13">
        <v>53</v>
      </c>
      <c r="L13">
        <v>43</v>
      </c>
      <c r="M13">
        <v>36</v>
      </c>
      <c r="N13">
        <v>44</v>
      </c>
      <c r="O13">
        <v>78</v>
      </c>
      <c r="P13">
        <v>32</v>
      </c>
      <c r="Q13">
        <v>24</v>
      </c>
      <c r="R13">
        <v>25</v>
      </c>
      <c r="S13">
        <v>21</v>
      </c>
      <c r="T13">
        <v>28</v>
      </c>
      <c r="U13">
        <v>42</v>
      </c>
      <c r="V13">
        <v>26</v>
      </c>
      <c r="W13">
        <v>22</v>
      </c>
      <c r="X13">
        <v>25</v>
      </c>
      <c r="Y13">
        <v>20</v>
      </c>
      <c r="Z13">
        <v>21</v>
      </c>
      <c r="AA13">
        <v>15</v>
      </c>
      <c r="AB13">
        <v>39</v>
      </c>
      <c r="AC13">
        <v>15</v>
      </c>
      <c r="AD13">
        <v>44</v>
      </c>
      <c r="AE13">
        <v>52</v>
      </c>
      <c r="AF13">
        <v>63</v>
      </c>
      <c r="AG13">
        <v>16</v>
      </c>
      <c r="AH13">
        <v>25</v>
      </c>
      <c r="AI13" s="25">
        <v>19</v>
      </c>
    </row>
    <row r="14" spans="1:35" ht="17" x14ac:dyDescent="0.2">
      <c r="A14" s="174"/>
      <c r="B14" s="4" t="s">
        <v>150</v>
      </c>
      <c r="C14">
        <v>108</v>
      </c>
      <c r="D14">
        <v>67</v>
      </c>
      <c r="E14">
        <v>26</v>
      </c>
      <c r="F14">
        <v>87</v>
      </c>
      <c r="G14">
        <v>40</v>
      </c>
      <c r="H14">
        <v>19</v>
      </c>
      <c r="I14">
        <v>51</v>
      </c>
      <c r="J14">
        <v>56</v>
      </c>
      <c r="K14">
        <v>82</v>
      </c>
      <c r="L14">
        <v>38</v>
      </c>
      <c r="M14">
        <v>33</v>
      </c>
      <c r="N14">
        <v>47</v>
      </c>
      <c r="O14">
        <v>56</v>
      </c>
      <c r="P14">
        <v>24</v>
      </c>
      <c r="Q14">
        <v>18</v>
      </c>
      <c r="R14">
        <v>33</v>
      </c>
      <c r="S14">
        <v>30</v>
      </c>
      <c r="T14">
        <v>24</v>
      </c>
      <c r="U14">
        <v>53</v>
      </c>
      <c r="V14">
        <v>38</v>
      </c>
      <c r="W14">
        <v>33</v>
      </c>
      <c r="X14">
        <v>25</v>
      </c>
      <c r="Y14">
        <v>22</v>
      </c>
      <c r="Z14">
        <v>28</v>
      </c>
      <c r="AA14">
        <v>34</v>
      </c>
      <c r="AB14">
        <v>70</v>
      </c>
      <c r="AC14">
        <v>16</v>
      </c>
      <c r="AD14">
        <v>72</v>
      </c>
      <c r="AE14">
        <v>141</v>
      </c>
      <c r="AF14">
        <v>44</v>
      </c>
      <c r="AG14">
        <v>29</v>
      </c>
      <c r="AH14">
        <v>61</v>
      </c>
      <c r="AI14" s="25">
        <v>43</v>
      </c>
    </row>
    <row r="15" spans="1:35" ht="17" x14ac:dyDescent="0.2">
      <c r="A15" s="174"/>
      <c r="B15" s="4" t="s">
        <v>156</v>
      </c>
      <c r="C15" s="5">
        <f t="shared" ref="C15:Y15" si="9">C12+(0.5*C13)</f>
        <v>415</v>
      </c>
      <c r="D15" s="5">
        <f t="shared" si="9"/>
        <v>171</v>
      </c>
      <c r="E15" s="5">
        <f t="shared" si="9"/>
        <v>85</v>
      </c>
      <c r="F15" s="5">
        <f t="shared" si="9"/>
        <v>420</v>
      </c>
      <c r="G15">
        <f t="shared" si="9"/>
        <v>75.5</v>
      </c>
      <c r="H15">
        <f t="shared" si="9"/>
        <v>59.5</v>
      </c>
      <c r="I15">
        <f t="shared" si="9"/>
        <v>282</v>
      </c>
      <c r="J15">
        <f t="shared" si="9"/>
        <v>126.5</v>
      </c>
      <c r="K15">
        <f t="shared" ref="K15:L15" si="10">K12+(0.5*K13)</f>
        <v>233.5</v>
      </c>
      <c r="L15">
        <f t="shared" si="10"/>
        <v>234.5</v>
      </c>
      <c r="M15">
        <f t="shared" si="9"/>
        <v>173</v>
      </c>
      <c r="N15">
        <f t="shared" si="9"/>
        <v>280</v>
      </c>
      <c r="O15">
        <f t="shared" si="9"/>
        <v>296</v>
      </c>
      <c r="P15">
        <f t="shared" si="9"/>
        <v>170</v>
      </c>
      <c r="Q15">
        <f t="shared" si="9"/>
        <v>92</v>
      </c>
      <c r="R15">
        <f t="shared" si="9"/>
        <v>104.5</v>
      </c>
      <c r="S15">
        <f t="shared" si="9"/>
        <v>107.5</v>
      </c>
      <c r="T15">
        <f t="shared" si="9"/>
        <v>127</v>
      </c>
      <c r="U15">
        <f t="shared" si="9"/>
        <v>143</v>
      </c>
      <c r="V15">
        <f t="shared" si="9"/>
        <v>89</v>
      </c>
      <c r="W15">
        <f t="shared" si="9"/>
        <v>84</v>
      </c>
      <c r="X15">
        <f t="shared" si="9"/>
        <v>59.5</v>
      </c>
      <c r="Y15">
        <f t="shared" si="9"/>
        <v>41</v>
      </c>
      <c r="Z15">
        <f t="shared" ref="Z15:AI15" si="11">Z12+(0.5*Z13)</f>
        <v>66.5</v>
      </c>
      <c r="AA15">
        <f t="shared" si="11"/>
        <v>57.5</v>
      </c>
      <c r="AB15">
        <f t="shared" si="11"/>
        <v>103.5</v>
      </c>
      <c r="AC15">
        <f t="shared" si="11"/>
        <v>52.5</v>
      </c>
      <c r="AD15">
        <f t="shared" si="11"/>
        <v>88</v>
      </c>
      <c r="AE15">
        <f t="shared" si="11"/>
        <v>157</v>
      </c>
      <c r="AF15">
        <f t="shared" si="11"/>
        <v>300.5</v>
      </c>
      <c r="AG15">
        <f t="shared" si="11"/>
        <v>34</v>
      </c>
      <c r="AH15">
        <f t="shared" si="11"/>
        <v>58.5</v>
      </c>
      <c r="AI15">
        <f t="shared" si="11"/>
        <v>84.5</v>
      </c>
    </row>
    <row r="16" spans="1:35" x14ac:dyDescent="0.2">
      <c r="A16" s="175"/>
      <c r="B16" s="34" t="s">
        <v>157</v>
      </c>
      <c r="C16" s="27">
        <f>C15/C11</f>
        <v>0.71061643835616439</v>
      </c>
      <c r="D16" s="28">
        <f t="shared" ref="D16:Y16" si="12">D15/D11</f>
        <v>0.6404494382022472</v>
      </c>
      <c r="E16" s="27">
        <f t="shared" si="12"/>
        <v>0.7024793388429752</v>
      </c>
      <c r="F16" s="27">
        <f t="shared" si="12"/>
        <v>0.76363636363636367</v>
      </c>
      <c r="G16" s="29">
        <f t="shared" si="12"/>
        <v>0.59920634920634919</v>
      </c>
      <c r="H16" s="30">
        <f t="shared" si="12"/>
        <v>0.7</v>
      </c>
      <c r="I16" s="30">
        <f t="shared" si="12"/>
        <v>0.79436619718309864</v>
      </c>
      <c r="J16" s="29">
        <f t="shared" si="12"/>
        <v>0.65206185567010311</v>
      </c>
      <c r="K16" s="29">
        <f t="shared" ref="K16:L16" si="13">K15/K11</f>
        <v>0.68274853801169588</v>
      </c>
      <c r="L16" s="30">
        <f t="shared" si="13"/>
        <v>0.79761904761904767</v>
      </c>
      <c r="M16" s="30">
        <f t="shared" si="12"/>
        <v>0.7723214285714286</v>
      </c>
      <c r="N16" s="30">
        <f t="shared" si="12"/>
        <v>0.80229226361031514</v>
      </c>
      <c r="O16" s="30">
        <f t="shared" si="12"/>
        <v>0.75703324808184147</v>
      </c>
      <c r="P16" s="30">
        <f t="shared" si="12"/>
        <v>0.80952380952380953</v>
      </c>
      <c r="Q16" s="30">
        <f t="shared" si="12"/>
        <v>0.75409836065573765</v>
      </c>
      <c r="R16" s="30">
        <f t="shared" si="12"/>
        <v>0.69666666666666666</v>
      </c>
      <c r="S16" s="30">
        <f t="shared" si="12"/>
        <v>0.72635135135135132</v>
      </c>
      <c r="T16" s="30">
        <f t="shared" si="12"/>
        <v>0.76969696969696966</v>
      </c>
      <c r="U16" s="29">
        <f t="shared" si="12"/>
        <v>0.65898617511520741</v>
      </c>
      <c r="V16" s="29">
        <f t="shared" si="12"/>
        <v>0.63571428571428568</v>
      </c>
      <c r="W16" s="29">
        <f t="shared" si="12"/>
        <v>0.65625</v>
      </c>
      <c r="X16" s="29">
        <f t="shared" si="12"/>
        <v>0.61340206185567014</v>
      </c>
      <c r="Y16" s="29">
        <f t="shared" si="12"/>
        <v>0.56164383561643838</v>
      </c>
      <c r="Z16" s="29">
        <f t="shared" ref="Z16:AI16" si="14">Z15/Z11</f>
        <v>0.6333333333333333</v>
      </c>
      <c r="AA16" s="29">
        <f t="shared" si="14"/>
        <v>0.58080808080808077</v>
      </c>
      <c r="AB16" s="29">
        <f t="shared" si="14"/>
        <v>0.53626943005181349</v>
      </c>
      <c r="AC16" s="29">
        <f t="shared" si="14"/>
        <v>0.69078947368421051</v>
      </c>
      <c r="AD16" s="39">
        <f t="shared" si="14"/>
        <v>0.48351648351648352</v>
      </c>
      <c r="AE16" s="39">
        <f t="shared" si="14"/>
        <v>0.48456790123456789</v>
      </c>
      <c r="AF16" s="30">
        <f t="shared" si="14"/>
        <v>0.79920212765957444</v>
      </c>
      <c r="AG16" s="39">
        <f t="shared" si="14"/>
        <v>0.47887323943661969</v>
      </c>
      <c r="AH16" s="39">
        <f t="shared" si="14"/>
        <v>0.44318181818181818</v>
      </c>
      <c r="AI16" s="29">
        <f t="shared" si="14"/>
        <v>0.61678832116788318</v>
      </c>
    </row>
    <row r="17" spans="1:35" ht="34" x14ac:dyDescent="0.2">
      <c r="A17" s="173" t="s">
        <v>145</v>
      </c>
      <c r="B17" s="33" t="s">
        <v>53</v>
      </c>
      <c r="C17" s="35">
        <v>95</v>
      </c>
      <c r="D17" s="23">
        <v>20</v>
      </c>
      <c r="E17" s="23">
        <v>32</v>
      </c>
      <c r="F17" s="23">
        <v>95</v>
      </c>
      <c r="G17" s="23">
        <v>7</v>
      </c>
      <c r="H17" s="23">
        <v>11</v>
      </c>
      <c r="I17" s="23">
        <v>10</v>
      </c>
      <c r="J17" s="23">
        <v>82</v>
      </c>
      <c r="K17" s="42" t="s">
        <v>45</v>
      </c>
      <c r="L17" s="42" t="s">
        <v>45</v>
      </c>
      <c r="M17" s="23">
        <v>25</v>
      </c>
      <c r="N17" s="23">
        <v>62</v>
      </c>
      <c r="O17" s="23">
        <v>124</v>
      </c>
      <c r="P17" s="23">
        <v>75</v>
      </c>
      <c r="Q17" s="23">
        <v>37</v>
      </c>
      <c r="R17" s="23">
        <v>32</v>
      </c>
      <c r="S17" s="23">
        <v>117</v>
      </c>
      <c r="T17" s="23">
        <v>27</v>
      </c>
      <c r="U17" s="23">
        <v>76</v>
      </c>
      <c r="V17" s="23">
        <v>56</v>
      </c>
      <c r="W17" s="23">
        <v>73</v>
      </c>
      <c r="X17" s="23">
        <v>6</v>
      </c>
      <c r="Y17" s="23">
        <v>11</v>
      </c>
      <c r="Z17" s="42" t="s">
        <v>45</v>
      </c>
      <c r="AA17" s="23">
        <v>58</v>
      </c>
      <c r="AB17" s="23">
        <v>27</v>
      </c>
      <c r="AC17" s="23">
        <v>32</v>
      </c>
      <c r="AD17" s="23">
        <v>36</v>
      </c>
      <c r="AE17" s="23">
        <v>94</v>
      </c>
      <c r="AF17" s="23">
        <v>24</v>
      </c>
      <c r="AG17" s="23">
        <v>135</v>
      </c>
      <c r="AH17" s="23">
        <v>2</v>
      </c>
      <c r="AI17" s="24">
        <v>56</v>
      </c>
    </row>
    <row r="18" spans="1:35" ht="16" customHeight="1" x14ac:dyDescent="0.2">
      <c r="A18" s="174"/>
      <c r="B18" s="4" t="s">
        <v>148</v>
      </c>
      <c r="C18" s="14">
        <v>65</v>
      </c>
      <c r="D18">
        <v>14</v>
      </c>
      <c r="E18">
        <v>17</v>
      </c>
      <c r="F18">
        <v>65</v>
      </c>
      <c r="G18">
        <v>4</v>
      </c>
      <c r="H18">
        <v>10</v>
      </c>
      <c r="I18">
        <v>7</v>
      </c>
      <c r="J18">
        <v>62</v>
      </c>
      <c r="K18" s="43" t="s">
        <v>45</v>
      </c>
      <c r="L18" s="43" t="s">
        <v>45</v>
      </c>
      <c r="M18">
        <v>20</v>
      </c>
      <c r="N18">
        <v>50</v>
      </c>
      <c r="O18">
        <v>87</v>
      </c>
      <c r="P18">
        <v>47</v>
      </c>
      <c r="Q18">
        <v>20</v>
      </c>
      <c r="R18">
        <v>15</v>
      </c>
      <c r="S18">
        <v>83</v>
      </c>
      <c r="T18">
        <v>25</v>
      </c>
      <c r="U18">
        <v>54</v>
      </c>
      <c r="V18">
        <v>30</v>
      </c>
      <c r="W18">
        <v>41</v>
      </c>
      <c r="X18">
        <v>3</v>
      </c>
      <c r="Y18">
        <v>6</v>
      </c>
      <c r="Z18" s="43" t="s">
        <v>45</v>
      </c>
      <c r="AA18">
        <v>24</v>
      </c>
      <c r="AB18">
        <v>15</v>
      </c>
      <c r="AC18">
        <v>20</v>
      </c>
      <c r="AD18">
        <v>17</v>
      </c>
      <c r="AE18">
        <v>42</v>
      </c>
      <c r="AF18">
        <v>20</v>
      </c>
      <c r="AG18">
        <v>59</v>
      </c>
      <c r="AH18">
        <v>0</v>
      </c>
      <c r="AI18" s="25">
        <v>30</v>
      </c>
    </row>
    <row r="19" spans="1:35" ht="17" x14ac:dyDescent="0.2">
      <c r="A19" s="174"/>
      <c r="B19" s="4" t="s">
        <v>149</v>
      </c>
      <c r="C19" s="14">
        <v>18</v>
      </c>
      <c r="D19">
        <v>2</v>
      </c>
      <c r="E19">
        <v>5</v>
      </c>
      <c r="F19">
        <v>18</v>
      </c>
      <c r="G19">
        <v>2</v>
      </c>
      <c r="H19">
        <v>0</v>
      </c>
      <c r="I19">
        <v>1</v>
      </c>
      <c r="J19">
        <v>8</v>
      </c>
      <c r="K19" s="43" t="s">
        <v>45</v>
      </c>
      <c r="L19" s="43" t="s">
        <v>45</v>
      </c>
      <c r="M19">
        <v>1</v>
      </c>
      <c r="N19">
        <v>3</v>
      </c>
      <c r="O19">
        <v>15</v>
      </c>
      <c r="P19">
        <v>16</v>
      </c>
      <c r="Q19">
        <v>12</v>
      </c>
      <c r="R19">
        <v>11</v>
      </c>
      <c r="S19">
        <v>6</v>
      </c>
      <c r="T19">
        <v>2</v>
      </c>
      <c r="U19">
        <v>3</v>
      </c>
      <c r="V19">
        <v>7</v>
      </c>
      <c r="W19">
        <v>11</v>
      </c>
      <c r="X19">
        <v>2</v>
      </c>
      <c r="Y19">
        <v>3</v>
      </c>
      <c r="Z19" s="43" t="s">
        <v>45</v>
      </c>
      <c r="AA19">
        <v>8</v>
      </c>
      <c r="AB19">
        <v>3</v>
      </c>
      <c r="AC19">
        <v>3</v>
      </c>
      <c r="AD19">
        <v>5</v>
      </c>
      <c r="AE19">
        <v>18</v>
      </c>
      <c r="AF19">
        <v>3</v>
      </c>
      <c r="AG19">
        <v>32</v>
      </c>
      <c r="AH19">
        <v>1</v>
      </c>
      <c r="AI19" s="25">
        <v>8</v>
      </c>
    </row>
    <row r="20" spans="1:35" ht="17" x14ac:dyDescent="0.2">
      <c r="A20" s="174"/>
      <c r="B20" s="4" t="s">
        <v>150</v>
      </c>
      <c r="C20" s="14">
        <v>12</v>
      </c>
      <c r="D20">
        <v>4</v>
      </c>
      <c r="E20">
        <v>10</v>
      </c>
      <c r="F20">
        <v>12</v>
      </c>
      <c r="G20">
        <v>1</v>
      </c>
      <c r="H20">
        <v>1</v>
      </c>
      <c r="I20">
        <v>2</v>
      </c>
      <c r="J20">
        <v>12</v>
      </c>
      <c r="K20" s="43" t="s">
        <v>45</v>
      </c>
      <c r="L20" s="43" t="s">
        <v>45</v>
      </c>
      <c r="M20">
        <v>4</v>
      </c>
      <c r="N20">
        <v>9</v>
      </c>
      <c r="O20">
        <v>22</v>
      </c>
      <c r="P20">
        <v>12</v>
      </c>
      <c r="Q20">
        <v>5</v>
      </c>
      <c r="R20">
        <v>6</v>
      </c>
      <c r="S20">
        <v>28</v>
      </c>
      <c r="T20">
        <v>0</v>
      </c>
      <c r="U20">
        <v>19</v>
      </c>
      <c r="V20">
        <v>19</v>
      </c>
      <c r="W20">
        <v>21</v>
      </c>
      <c r="X20">
        <v>1</v>
      </c>
      <c r="Y20">
        <v>2</v>
      </c>
      <c r="Z20" s="43" t="s">
        <v>45</v>
      </c>
      <c r="AA20">
        <v>26</v>
      </c>
      <c r="AB20">
        <v>9</v>
      </c>
      <c r="AC20">
        <v>9</v>
      </c>
      <c r="AD20">
        <v>14</v>
      </c>
      <c r="AE20">
        <v>34</v>
      </c>
      <c r="AF20">
        <v>1</v>
      </c>
      <c r="AG20">
        <v>44</v>
      </c>
      <c r="AH20">
        <v>1</v>
      </c>
      <c r="AI20" s="25">
        <v>18</v>
      </c>
    </row>
    <row r="21" spans="1:35" ht="17" x14ac:dyDescent="0.2">
      <c r="A21" s="174"/>
      <c r="B21" s="4" t="s">
        <v>156</v>
      </c>
      <c r="C21" s="5">
        <f t="shared" ref="C21:AI21" si="15">C18+(0.5*C19)</f>
        <v>74</v>
      </c>
      <c r="D21" s="5">
        <f t="shared" si="15"/>
        <v>15</v>
      </c>
      <c r="E21" s="5">
        <f t="shared" si="15"/>
        <v>19.5</v>
      </c>
      <c r="F21" s="5">
        <f t="shared" si="15"/>
        <v>74</v>
      </c>
      <c r="G21">
        <f t="shared" si="15"/>
        <v>5</v>
      </c>
      <c r="H21">
        <f t="shared" si="15"/>
        <v>10</v>
      </c>
      <c r="I21">
        <f t="shared" si="15"/>
        <v>7.5</v>
      </c>
      <c r="J21">
        <f t="shared" si="15"/>
        <v>66</v>
      </c>
      <c r="K21" s="43" t="s">
        <v>45</v>
      </c>
      <c r="L21" s="43" t="s">
        <v>45</v>
      </c>
      <c r="M21">
        <f t="shared" si="15"/>
        <v>20.5</v>
      </c>
      <c r="N21">
        <f t="shared" si="15"/>
        <v>51.5</v>
      </c>
      <c r="O21">
        <f t="shared" si="15"/>
        <v>94.5</v>
      </c>
      <c r="P21">
        <f t="shared" si="15"/>
        <v>55</v>
      </c>
      <c r="Q21">
        <f t="shared" si="15"/>
        <v>26</v>
      </c>
      <c r="R21">
        <f t="shared" si="15"/>
        <v>20.5</v>
      </c>
      <c r="S21">
        <f t="shared" si="15"/>
        <v>86</v>
      </c>
      <c r="T21">
        <f t="shared" si="15"/>
        <v>26</v>
      </c>
      <c r="U21">
        <f t="shared" si="15"/>
        <v>55.5</v>
      </c>
      <c r="V21">
        <f t="shared" si="15"/>
        <v>33.5</v>
      </c>
      <c r="W21">
        <f t="shared" si="15"/>
        <v>46.5</v>
      </c>
      <c r="X21">
        <f t="shared" si="15"/>
        <v>4</v>
      </c>
      <c r="Y21">
        <f t="shared" si="15"/>
        <v>7.5</v>
      </c>
      <c r="Z21" s="43" t="s">
        <v>45</v>
      </c>
      <c r="AA21">
        <f t="shared" si="15"/>
        <v>28</v>
      </c>
      <c r="AB21">
        <f t="shared" si="15"/>
        <v>16.5</v>
      </c>
      <c r="AC21">
        <f t="shared" si="15"/>
        <v>21.5</v>
      </c>
      <c r="AD21">
        <f t="shared" si="15"/>
        <v>19.5</v>
      </c>
      <c r="AE21">
        <f t="shared" si="15"/>
        <v>51</v>
      </c>
      <c r="AF21">
        <f t="shared" si="15"/>
        <v>21.5</v>
      </c>
      <c r="AG21">
        <f t="shared" si="15"/>
        <v>75</v>
      </c>
      <c r="AH21">
        <f t="shared" si="15"/>
        <v>0.5</v>
      </c>
      <c r="AI21">
        <f t="shared" si="15"/>
        <v>34</v>
      </c>
    </row>
    <row r="22" spans="1:35" x14ac:dyDescent="0.2">
      <c r="A22" s="175"/>
      <c r="B22" s="34" t="s">
        <v>157</v>
      </c>
      <c r="C22" s="27">
        <f t="shared" ref="C22:R22" si="16">C21/C17</f>
        <v>0.77894736842105261</v>
      </c>
      <c r="D22" s="27">
        <f t="shared" si="16"/>
        <v>0.75</v>
      </c>
      <c r="E22" s="28">
        <f t="shared" ref="E22:J22" si="17">E21/E17</f>
        <v>0.609375</v>
      </c>
      <c r="F22" s="27">
        <f t="shared" si="17"/>
        <v>0.77894736842105261</v>
      </c>
      <c r="G22" s="30">
        <f t="shared" si="17"/>
        <v>0.7142857142857143</v>
      </c>
      <c r="H22" s="30">
        <f t="shared" si="17"/>
        <v>0.90909090909090906</v>
      </c>
      <c r="I22" s="30">
        <f t="shared" si="17"/>
        <v>0.75</v>
      </c>
      <c r="J22" s="30">
        <f t="shared" si="17"/>
        <v>0.80487804878048785</v>
      </c>
      <c r="K22" s="44" t="s">
        <v>45</v>
      </c>
      <c r="L22" s="44" t="s">
        <v>45</v>
      </c>
      <c r="M22" s="30">
        <f t="shared" si="16"/>
        <v>0.82</v>
      </c>
      <c r="N22" s="30">
        <f t="shared" si="16"/>
        <v>0.83064516129032262</v>
      </c>
      <c r="O22" s="30">
        <f t="shared" si="16"/>
        <v>0.76209677419354838</v>
      </c>
      <c r="P22" s="30">
        <f t="shared" si="16"/>
        <v>0.73333333333333328</v>
      </c>
      <c r="Q22" s="30">
        <f t="shared" si="16"/>
        <v>0.70270270270270274</v>
      </c>
      <c r="R22" s="29">
        <f t="shared" si="16"/>
        <v>0.640625</v>
      </c>
      <c r="S22" s="30">
        <f>S21/S17</f>
        <v>0.7350427350427351</v>
      </c>
      <c r="T22" s="30">
        <f>T21/T17</f>
        <v>0.96296296296296291</v>
      </c>
      <c r="U22" s="30">
        <f>U21/U17</f>
        <v>0.73026315789473684</v>
      </c>
      <c r="V22" s="29">
        <f>V21/V17</f>
        <v>0.5982142857142857</v>
      </c>
      <c r="W22" s="29">
        <f t="shared" ref="W22:AI22" si="18">W21/W17</f>
        <v>0.63698630136986301</v>
      </c>
      <c r="X22" s="29">
        <f t="shared" si="18"/>
        <v>0.66666666666666663</v>
      </c>
      <c r="Y22" s="29">
        <f t="shared" si="18"/>
        <v>0.68181818181818177</v>
      </c>
      <c r="Z22" s="44" t="s">
        <v>45</v>
      </c>
      <c r="AA22" s="39">
        <f t="shared" si="18"/>
        <v>0.48275862068965519</v>
      </c>
      <c r="AB22" s="29">
        <f t="shared" si="18"/>
        <v>0.61111111111111116</v>
      </c>
      <c r="AC22" s="29">
        <f t="shared" si="18"/>
        <v>0.671875</v>
      </c>
      <c r="AD22" s="29">
        <f t="shared" si="18"/>
        <v>0.54166666666666663</v>
      </c>
      <c r="AE22" s="29">
        <f t="shared" si="18"/>
        <v>0.54255319148936165</v>
      </c>
      <c r="AF22" s="30">
        <f t="shared" si="18"/>
        <v>0.89583333333333337</v>
      </c>
      <c r="AG22" s="29">
        <f t="shared" si="18"/>
        <v>0.55555555555555558</v>
      </c>
      <c r="AH22" s="39">
        <f t="shared" si="18"/>
        <v>0.25</v>
      </c>
      <c r="AI22" s="29">
        <f t="shared" si="18"/>
        <v>0.6071428571428571</v>
      </c>
    </row>
    <row r="23" spans="1:35" x14ac:dyDescent="0.2">
      <c r="K23" s="43"/>
      <c r="L23" s="43"/>
    </row>
    <row r="24" spans="1:35" x14ac:dyDescent="0.2">
      <c r="B24" s="6"/>
    </row>
  </sheetData>
  <mergeCells count="4">
    <mergeCell ref="A11:A16"/>
    <mergeCell ref="A17:A22"/>
    <mergeCell ref="A2:A7"/>
    <mergeCell ref="A8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5481-413A-F64D-8618-CB17EF8E1A9F}">
  <sheetPr codeName="Sheet3"/>
  <dimension ref="C2:R40"/>
  <sheetViews>
    <sheetView topLeftCell="B1" workbookViewId="0">
      <selection activeCell="G47" sqref="G47"/>
    </sheetView>
  </sheetViews>
  <sheetFormatPr baseColWidth="10" defaultColWidth="11" defaultRowHeight="16" x14ac:dyDescent="0.2"/>
  <cols>
    <col min="3" max="3" width="24" customWidth="1"/>
    <col min="4" max="4" width="10" customWidth="1"/>
    <col min="5" max="5" width="14.6640625" customWidth="1"/>
    <col min="7" max="7" width="21.5" customWidth="1"/>
    <col min="8" max="8" width="13.83203125" customWidth="1"/>
    <col min="12" max="12" width="14.1640625" customWidth="1"/>
    <col min="17" max="17" width="39.33203125" customWidth="1"/>
  </cols>
  <sheetData>
    <row r="2" spans="3:18" x14ac:dyDescent="0.2">
      <c r="C2" s="176" t="s">
        <v>154</v>
      </c>
      <c r="D2" s="179" t="s">
        <v>151</v>
      </c>
      <c r="E2" s="179"/>
      <c r="F2" s="179"/>
      <c r="G2" s="179"/>
      <c r="H2" s="179" t="s">
        <v>152</v>
      </c>
      <c r="I2" s="179"/>
      <c r="J2" s="179"/>
      <c r="K2" s="179"/>
      <c r="L2" s="179" t="s">
        <v>153</v>
      </c>
      <c r="M2" s="179"/>
      <c r="N2" s="179"/>
      <c r="O2" s="179"/>
    </row>
    <row r="3" spans="3:18" x14ac:dyDescent="0.2">
      <c r="C3" s="177"/>
      <c r="D3" s="45" t="s">
        <v>148</v>
      </c>
      <c r="E3" s="45" t="s">
        <v>149</v>
      </c>
      <c r="F3" s="45" t="s">
        <v>150</v>
      </c>
      <c r="G3" s="45" t="s">
        <v>55</v>
      </c>
      <c r="H3" s="45" t="s">
        <v>148</v>
      </c>
      <c r="I3" s="45" t="s">
        <v>149</v>
      </c>
      <c r="J3" s="45" t="s">
        <v>150</v>
      </c>
      <c r="K3" s="45" t="s">
        <v>55</v>
      </c>
      <c r="L3" s="45" t="s">
        <v>148</v>
      </c>
      <c r="M3" s="45" t="s">
        <v>149</v>
      </c>
      <c r="N3" s="45" t="s">
        <v>150</v>
      </c>
      <c r="O3" s="45" t="s">
        <v>55</v>
      </c>
    </row>
    <row r="4" spans="3:18" ht="34" x14ac:dyDescent="0.2">
      <c r="C4" s="9" t="s">
        <v>56</v>
      </c>
      <c r="D4" s="8"/>
      <c r="E4" s="8"/>
      <c r="F4" s="8"/>
      <c r="G4" s="8">
        <f>D4+E4+F4</f>
        <v>0</v>
      </c>
      <c r="H4" s="8">
        <v>40</v>
      </c>
      <c r="I4" s="8">
        <v>13</v>
      </c>
      <c r="J4" s="8">
        <v>21</v>
      </c>
      <c r="K4" s="8">
        <f>H4+I4+J4</f>
        <v>74</v>
      </c>
      <c r="L4" s="8"/>
      <c r="M4" s="8">
        <v>1</v>
      </c>
      <c r="N4" s="8">
        <v>2</v>
      </c>
      <c r="O4" s="8">
        <f>L4+M4+N4</f>
        <v>3</v>
      </c>
      <c r="Q4" s="10" t="s">
        <v>50</v>
      </c>
      <c r="R4" s="8">
        <f>G18+K18+O18</f>
        <v>584</v>
      </c>
    </row>
    <row r="5" spans="3:18" ht="17" x14ac:dyDescent="0.2">
      <c r="C5" s="9" t="s">
        <v>57</v>
      </c>
      <c r="D5" s="8"/>
      <c r="E5" s="8"/>
      <c r="F5" s="8"/>
      <c r="G5" s="8">
        <f t="shared" ref="G5:G17" si="0">D5+E5+F5</f>
        <v>0</v>
      </c>
      <c r="H5" s="8">
        <v>17</v>
      </c>
      <c r="I5" s="8">
        <v>5</v>
      </c>
      <c r="J5" s="8">
        <v>4</v>
      </c>
      <c r="K5" s="8">
        <f t="shared" ref="K5:K17" si="1">H5+I5+J5</f>
        <v>26</v>
      </c>
      <c r="L5" s="8">
        <v>2</v>
      </c>
      <c r="M5" s="8"/>
      <c r="N5" s="8"/>
      <c r="O5" s="8">
        <f t="shared" ref="O5:O17" si="2">L5+M5+N5</f>
        <v>2</v>
      </c>
      <c r="Q5" s="10" t="s">
        <v>148</v>
      </c>
      <c r="R5" s="8">
        <f>D18+H18+L18</f>
        <v>354</v>
      </c>
    </row>
    <row r="6" spans="3:18" ht="17" x14ac:dyDescent="0.2">
      <c r="C6" s="9" t="s">
        <v>58</v>
      </c>
      <c r="D6" s="8">
        <v>2</v>
      </c>
      <c r="E6" s="8"/>
      <c r="F6" s="8">
        <v>1</v>
      </c>
      <c r="G6" s="8">
        <f t="shared" si="0"/>
        <v>3</v>
      </c>
      <c r="H6" s="8">
        <v>41</v>
      </c>
      <c r="I6" s="8">
        <v>17</v>
      </c>
      <c r="J6" s="8">
        <v>18</v>
      </c>
      <c r="K6" s="8">
        <f t="shared" si="1"/>
        <v>76</v>
      </c>
      <c r="L6" s="8">
        <v>3</v>
      </c>
      <c r="M6" s="8">
        <v>1</v>
      </c>
      <c r="N6" s="8">
        <v>2</v>
      </c>
      <c r="O6" s="8">
        <f t="shared" si="2"/>
        <v>6</v>
      </c>
      <c r="Q6" s="10" t="s">
        <v>167</v>
      </c>
      <c r="R6" s="8">
        <f>E18+I18+M18</f>
        <v>122</v>
      </c>
    </row>
    <row r="7" spans="3:18" ht="17" x14ac:dyDescent="0.2">
      <c r="C7" s="9" t="s">
        <v>59</v>
      </c>
      <c r="D7" s="8"/>
      <c r="E7" s="8"/>
      <c r="F7" s="8">
        <v>1</v>
      </c>
      <c r="G7" s="8">
        <f t="shared" si="0"/>
        <v>1</v>
      </c>
      <c r="H7" s="8">
        <v>52</v>
      </c>
      <c r="I7" s="8">
        <v>13</v>
      </c>
      <c r="J7" s="8">
        <v>12</v>
      </c>
      <c r="K7" s="8">
        <f t="shared" si="1"/>
        <v>77</v>
      </c>
      <c r="L7" s="8">
        <v>3</v>
      </c>
      <c r="M7" s="8">
        <v>2</v>
      </c>
      <c r="N7" s="8">
        <v>1</v>
      </c>
      <c r="O7" s="8">
        <f t="shared" si="2"/>
        <v>6</v>
      </c>
      <c r="Q7" s="10" t="s">
        <v>168</v>
      </c>
      <c r="R7" s="8">
        <f>F18+J18+N18</f>
        <v>108</v>
      </c>
    </row>
    <row r="8" spans="3:18" ht="17" x14ac:dyDescent="0.2">
      <c r="C8" s="9" t="s">
        <v>60</v>
      </c>
      <c r="D8" s="8">
        <v>1</v>
      </c>
      <c r="E8" s="8"/>
      <c r="F8" s="8"/>
      <c r="G8" s="8">
        <f t="shared" si="0"/>
        <v>1</v>
      </c>
      <c r="H8" s="8">
        <v>2</v>
      </c>
      <c r="I8" s="8">
        <v>3</v>
      </c>
      <c r="J8" s="8">
        <v>3</v>
      </c>
      <c r="K8" s="8">
        <f t="shared" si="1"/>
        <v>8</v>
      </c>
      <c r="L8" s="8"/>
      <c r="M8" s="8"/>
      <c r="N8" s="8"/>
      <c r="O8" s="8">
        <f t="shared" si="2"/>
        <v>0</v>
      </c>
      <c r="Q8" s="10" t="s">
        <v>169</v>
      </c>
      <c r="R8" s="8">
        <f>R5+(0.5*R6)</f>
        <v>415</v>
      </c>
    </row>
    <row r="9" spans="3:18" ht="15" x14ac:dyDescent="0.2">
      <c r="C9" s="9" t="s">
        <v>61</v>
      </c>
      <c r="D9" s="8"/>
      <c r="E9" s="8"/>
      <c r="F9" s="8"/>
      <c r="G9" s="8">
        <f t="shared" si="0"/>
        <v>0</v>
      </c>
      <c r="H9" s="8">
        <v>20</v>
      </c>
      <c r="I9" s="8">
        <v>5</v>
      </c>
      <c r="J9" s="8">
        <v>3</v>
      </c>
      <c r="K9" s="8">
        <f t="shared" si="1"/>
        <v>28</v>
      </c>
      <c r="L9" s="8">
        <v>1</v>
      </c>
      <c r="M9" s="8">
        <v>2</v>
      </c>
      <c r="N9" s="8">
        <v>1</v>
      </c>
      <c r="O9" s="8">
        <f t="shared" si="2"/>
        <v>4</v>
      </c>
      <c r="Q9" s="11" t="s">
        <v>157</v>
      </c>
      <c r="R9" s="12">
        <f>R8/R4</f>
        <v>0.71061643835616439</v>
      </c>
    </row>
    <row r="10" spans="3:18" ht="15" x14ac:dyDescent="0.2">
      <c r="C10" s="9" t="s">
        <v>62</v>
      </c>
      <c r="D10" s="8"/>
      <c r="E10" s="8"/>
      <c r="F10" s="8">
        <v>1</v>
      </c>
      <c r="G10" s="8">
        <f t="shared" si="0"/>
        <v>1</v>
      </c>
      <c r="H10" s="8">
        <v>13</v>
      </c>
      <c r="I10" s="8">
        <v>9</v>
      </c>
      <c r="J10" s="8">
        <v>1</v>
      </c>
      <c r="K10" s="8">
        <f t="shared" si="1"/>
        <v>23</v>
      </c>
      <c r="L10" s="8">
        <v>1</v>
      </c>
      <c r="M10" s="8">
        <v>1</v>
      </c>
      <c r="N10" s="8"/>
      <c r="O10" s="8">
        <f t="shared" si="2"/>
        <v>2</v>
      </c>
    </row>
    <row r="11" spans="3:18" ht="15" x14ac:dyDescent="0.2">
      <c r="C11" s="9" t="s">
        <v>63</v>
      </c>
      <c r="D11" s="8"/>
      <c r="E11" s="8"/>
      <c r="F11" s="8"/>
      <c r="G11" s="8">
        <f t="shared" si="0"/>
        <v>0</v>
      </c>
      <c r="H11" s="8">
        <v>16</v>
      </c>
      <c r="I11" s="8">
        <v>3</v>
      </c>
      <c r="J11" s="8">
        <v>7</v>
      </c>
      <c r="K11" s="8">
        <f t="shared" si="1"/>
        <v>26</v>
      </c>
      <c r="L11" s="8"/>
      <c r="M11" s="8">
        <v>2</v>
      </c>
      <c r="N11" s="8"/>
      <c r="O11" s="8">
        <f t="shared" si="2"/>
        <v>2</v>
      </c>
    </row>
    <row r="12" spans="3:18" ht="15" x14ac:dyDescent="0.2">
      <c r="C12" s="9" t="s">
        <v>64</v>
      </c>
      <c r="D12" s="8">
        <v>2</v>
      </c>
      <c r="E12" s="8">
        <v>1</v>
      </c>
      <c r="F12" s="8"/>
      <c r="G12" s="8">
        <f t="shared" si="0"/>
        <v>3</v>
      </c>
      <c r="H12" s="8">
        <v>50</v>
      </c>
      <c r="I12" s="8">
        <v>13</v>
      </c>
      <c r="J12" s="8">
        <v>14</v>
      </c>
      <c r="K12" s="8">
        <f t="shared" si="1"/>
        <v>77</v>
      </c>
      <c r="L12" s="8">
        <v>3</v>
      </c>
      <c r="M12" s="8">
        <v>2</v>
      </c>
      <c r="N12" s="8">
        <v>1</v>
      </c>
      <c r="O12" s="8">
        <f t="shared" si="2"/>
        <v>6</v>
      </c>
    </row>
    <row r="13" spans="3:18" ht="15" x14ac:dyDescent="0.2">
      <c r="C13" s="9" t="s">
        <v>65</v>
      </c>
      <c r="D13" s="8"/>
      <c r="E13" s="8"/>
      <c r="F13" s="8"/>
      <c r="G13" s="8">
        <f t="shared" si="0"/>
        <v>0</v>
      </c>
      <c r="H13" s="8">
        <v>8</v>
      </c>
      <c r="I13" s="8">
        <v>7</v>
      </c>
      <c r="J13" s="8">
        <v>1</v>
      </c>
      <c r="K13" s="8">
        <f t="shared" si="1"/>
        <v>16</v>
      </c>
      <c r="L13" s="8"/>
      <c r="M13" s="8"/>
      <c r="N13" s="8"/>
      <c r="O13" s="8">
        <f t="shared" si="2"/>
        <v>0</v>
      </c>
    </row>
    <row r="14" spans="3:18" ht="15" x14ac:dyDescent="0.2">
      <c r="C14" s="9" t="s">
        <v>66</v>
      </c>
      <c r="D14" s="8"/>
      <c r="E14" s="8">
        <v>1</v>
      </c>
      <c r="F14" s="8"/>
      <c r="G14" s="8">
        <f t="shared" si="0"/>
        <v>1</v>
      </c>
      <c r="H14" s="8">
        <v>16</v>
      </c>
      <c r="I14" s="8">
        <v>4</v>
      </c>
      <c r="J14" s="8">
        <v>1</v>
      </c>
      <c r="K14" s="8">
        <f t="shared" si="1"/>
        <v>21</v>
      </c>
      <c r="L14" s="8">
        <v>1</v>
      </c>
      <c r="M14" s="8"/>
      <c r="N14" s="8"/>
      <c r="O14" s="8">
        <f t="shared" si="2"/>
        <v>1</v>
      </c>
    </row>
    <row r="15" spans="3:18" ht="15" x14ac:dyDescent="0.2">
      <c r="C15" s="9" t="s">
        <v>67</v>
      </c>
      <c r="D15" s="8">
        <v>1</v>
      </c>
      <c r="E15" s="8"/>
      <c r="F15" s="8"/>
      <c r="G15" s="8">
        <f t="shared" si="0"/>
        <v>1</v>
      </c>
      <c r="H15" s="8">
        <v>34</v>
      </c>
      <c r="I15" s="8">
        <v>14</v>
      </c>
      <c r="J15" s="8">
        <v>12</v>
      </c>
      <c r="K15" s="8">
        <f t="shared" si="1"/>
        <v>60</v>
      </c>
      <c r="L15" s="8">
        <v>2</v>
      </c>
      <c r="M15" s="8">
        <v>2</v>
      </c>
      <c r="N15" s="8"/>
      <c r="O15" s="8">
        <f t="shared" si="2"/>
        <v>4</v>
      </c>
    </row>
    <row r="16" spans="3:18" ht="15" x14ac:dyDescent="0.2">
      <c r="C16" s="9" t="s">
        <v>68</v>
      </c>
      <c r="D16" s="8"/>
      <c r="E16" s="8"/>
      <c r="F16" s="8"/>
      <c r="G16" s="8">
        <f t="shared" si="0"/>
        <v>0</v>
      </c>
      <c r="H16" s="8">
        <v>9</v>
      </c>
      <c r="I16" s="8">
        <v>1</v>
      </c>
      <c r="J16" s="8">
        <v>1</v>
      </c>
      <c r="K16" s="8">
        <f t="shared" si="1"/>
        <v>11</v>
      </c>
      <c r="L16" s="8">
        <v>1</v>
      </c>
      <c r="M16" s="8"/>
      <c r="N16" s="8"/>
      <c r="O16" s="8">
        <f t="shared" si="2"/>
        <v>1</v>
      </c>
    </row>
    <row r="17" spans="3:18" ht="15" x14ac:dyDescent="0.2">
      <c r="C17" s="9" t="s">
        <v>69</v>
      </c>
      <c r="D17" s="8">
        <v>1</v>
      </c>
      <c r="E17" s="8"/>
      <c r="F17" s="8"/>
      <c r="G17" s="8">
        <f t="shared" si="0"/>
        <v>1</v>
      </c>
      <c r="H17" s="8">
        <v>10</v>
      </c>
      <c r="I17" s="8"/>
      <c r="J17" s="8"/>
      <c r="K17" s="8">
        <f t="shared" si="1"/>
        <v>10</v>
      </c>
      <c r="L17" s="8">
        <v>2</v>
      </c>
      <c r="M17" s="8"/>
      <c r="N17" s="8"/>
      <c r="O17" s="8">
        <f t="shared" si="2"/>
        <v>2</v>
      </c>
    </row>
    <row r="18" spans="3:18" x14ac:dyDescent="0.2">
      <c r="C18" s="45" t="s">
        <v>165</v>
      </c>
      <c r="D18" s="45">
        <f>SUM(D4:D17)</f>
        <v>7</v>
      </c>
      <c r="E18" s="45">
        <f t="shared" ref="E18:O18" si="3">SUM(E4:E17)</f>
        <v>2</v>
      </c>
      <c r="F18" s="45">
        <f t="shared" si="3"/>
        <v>3</v>
      </c>
      <c r="G18" s="45">
        <f t="shared" si="3"/>
        <v>12</v>
      </c>
      <c r="H18" s="45">
        <f t="shared" si="3"/>
        <v>328</v>
      </c>
      <c r="I18" s="45">
        <f t="shared" si="3"/>
        <v>107</v>
      </c>
      <c r="J18" s="45">
        <f t="shared" si="3"/>
        <v>98</v>
      </c>
      <c r="K18" s="45">
        <f t="shared" si="3"/>
        <v>533</v>
      </c>
      <c r="L18" s="45">
        <f t="shared" si="3"/>
        <v>19</v>
      </c>
      <c r="M18" s="45">
        <f t="shared" si="3"/>
        <v>13</v>
      </c>
      <c r="N18" s="45">
        <f t="shared" si="3"/>
        <v>7</v>
      </c>
      <c r="O18" s="45">
        <f t="shared" si="3"/>
        <v>39</v>
      </c>
    </row>
    <row r="23" spans="3:18" ht="30" customHeight="1" x14ac:dyDescent="0.2">
      <c r="C23" s="176" t="s">
        <v>155</v>
      </c>
      <c r="D23" s="179" t="s">
        <v>151</v>
      </c>
      <c r="E23" s="179"/>
      <c r="F23" s="179"/>
      <c r="G23" s="179"/>
      <c r="H23" s="179" t="s">
        <v>152</v>
      </c>
      <c r="I23" s="179"/>
      <c r="J23" s="179"/>
      <c r="K23" s="179"/>
      <c r="L23" s="179" t="s">
        <v>153</v>
      </c>
      <c r="M23" s="179"/>
      <c r="N23" s="179"/>
      <c r="O23" s="179"/>
      <c r="Q23" s="10" t="s">
        <v>53</v>
      </c>
      <c r="R23" s="8">
        <f>G31+K31+O31</f>
        <v>95</v>
      </c>
    </row>
    <row r="24" spans="3:18" ht="30" customHeight="1" x14ac:dyDescent="0.2">
      <c r="C24" s="177"/>
      <c r="D24" s="45" t="s">
        <v>148</v>
      </c>
      <c r="E24" s="45" t="s">
        <v>149</v>
      </c>
      <c r="F24" s="45" t="s">
        <v>150</v>
      </c>
      <c r="G24" s="45" t="s">
        <v>55</v>
      </c>
      <c r="H24" s="45" t="s">
        <v>148</v>
      </c>
      <c r="I24" s="45" t="s">
        <v>149</v>
      </c>
      <c r="J24" s="45" t="s">
        <v>150</v>
      </c>
      <c r="K24" s="45" t="s">
        <v>55</v>
      </c>
      <c r="L24" s="45" t="s">
        <v>148</v>
      </c>
      <c r="M24" s="45" t="s">
        <v>149</v>
      </c>
      <c r="N24" s="45" t="s">
        <v>150</v>
      </c>
      <c r="O24" s="45" t="s">
        <v>55</v>
      </c>
      <c r="Q24" s="10" t="s">
        <v>54</v>
      </c>
      <c r="R24" s="8">
        <f>D31+H31+L31</f>
        <v>65</v>
      </c>
    </row>
    <row r="25" spans="3:18" ht="17" x14ac:dyDescent="0.2">
      <c r="C25" s="9" t="s">
        <v>70</v>
      </c>
      <c r="D25" s="8"/>
      <c r="E25" s="8"/>
      <c r="F25" s="8"/>
      <c r="G25" s="8">
        <f>D25+E25+F25</f>
        <v>0</v>
      </c>
      <c r="H25" s="8"/>
      <c r="I25" s="8"/>
      <c r="J25" s="8"/>
      <c r="K25" s="8">
        <f>H25+I25+J25</f>
        <v>0</v>
      </c>
      <c r="L25" s="8"/>
      <c r="M25" s="8"/>
      <c r="N25" s="8"/>
      <c r="O25" s="8">
        <f>L25+M25+N25</f>
        <v>0</v>
      </c>
      <c r="Q25" s="10" t="s">
        <v>51</v>
      </c>
      <c r="R25" s="8">
        <f>E31+I31+M31</f>
        <v>18</v>
      </c>
    </row>
    <row r="26" spans="3:18" ht="17" x14ac:dyDescent="0.2">
      <c r="C26" s="9" t="s">
        <v>71</v>
      </c>
      <c r="D26" s="8"/>
      <c r="E26" s="8"/>
      <c r="F26" s="8"/>
      <c r="G26" s="8">
        <f t="shared" ref="G26:G30" si="4">D26+E26+F26</f>
        <v>0</v>
      </c>
      <c r="H26" s="8">
        <v>7</v>
      </c>
      <c r="I26" s="8">
        <v>1</v>
      </c>
      <c r="J26" s="8"/>
      <c r="K26" s="8">
        <f t="shared" ref="K26:K30" si="5">H26+I26+J26</f>
        <v>8</v>
      </c>
      <c r="L26" s="8">
        <v>1</v>
      </c>
      <c r="M26" s="8"/>
      <c r="N26" s="8"/>
      <c r="O26" s="8">
        <f t="shared" ref="O26:O30" si="6">L26+M26+N26</f>
        <v>1</v>
      </c>
      <c r="Q26" s="10" t="s">
        <v>52</v>
      </c>
      <c r="R26" s="8">
        <f>F31+J31+N31</f>
        <v>12</v>
      </c>
    </row>
    <row r="27" spans="3:18" ht="17" x14ac:dyDescent="0.2">
      <c r="C27" s="9" t="s">
        <v>72</v>
      </c>
      <c r="D27" s="8"/>
      <c r="E27" s="8"/>
      <c r="F27" s="8"/>
      <c r="G27" s="8">
        <f t="shared" si="4"/>
        <v>0</v>
      </c>
      <c r="H27" s="8">
        <v>10</v>
      </c>
      <c r="I27" s="8">
        <v>4</v>
      </c>
      <c r="J27" s="8">
        <v>4</v>
      </c>
      <c r="K27" s="8">
        <f t="shared" si="5"/>
        <v>18</v>
      </c>
      <c r="L27" s="8">
        <v>2</v>
      </c>
      <c r="M27" s="8"/>
      <c r="N27" s="8">
        <v>1</v>
      </c>
      <c r="O27" s="8">
        <f t="shared" si="6"/>
        <v>3</v>
      </c>
      <c r="Q27" s="10" t="s">
        <v>46</v>
      </c>
      <c r="R27" s="8">
        <f t="shared" ref="R27" si="7">R24+(0.5*R25)</f>
        <v>74</v>
      </c>
    </row>
    <row r="28" spans="3:18" ht="15" x14ac:dyDescent="0.2">
      <c r="C28" s="9" t="s">
        <v>73</v>
      </c>
      <c r="D28" s="8"/>
      <c r="E28" s="8"/>
      <c r="F28" s="8"/>
      <c r="G28" s="8">
        <f t="shared" si="4"/>
        <v>0</v>
      </c>
      <c r="H28" s="8">
        <v>1</v>
      </c>
      <c r="I28" s="8"/>
      <c r="J28" s="8">
        <v>1</v>
      </c>
      <c r="K28" s="8">
        <f t="shared" si="5"/>
        <v>2</v>
      </c>
      <c r="L28" s="8"/>
      <c r="M28" s="8"/>
      <c r="N28" s="8"/>
      <c r="O28" s="8">
        <f t="shared" si="6"/>
        <v>0</v>
      </c>
      <c r="Q28" s="11" t="s">
        <v>47</v>
      </c>
      <c r="R28" s="12">
        <f t="shared" ref="R28" si="8">R27/R23</f>
        <v>0.77894736842105261</v>
      </c>
    </row>
    <row r="29" spans="3:18" ht="15" x14ac:dyDescent="0.2">
      <c r="C29" s="9" t="s">
        <v>74</v>
      </c>
      <c r="D29" s="8"/>
      <c r="E29" s="8"/>
      <c r="F29" s="8"/>
      <c r="G29" s="8">
        <f t="shared" si="4"/>
        <v>0</v>
      </c>
      <c r="H29" s="8">
        <v>25</v>
      </c>
      <c r="I29" s="8">
        <v>2</v>
      </c>
      <c r="J29" s="8">
        <v>2</v>
      </c>
      <c r="K29" s="8">
        <f t="shared" si="5"/>
        <v>29</v>
      </c>
      <c r="L29" s="8">
        <v>3</v>
      </c>
      <c r="M29" s="8">
        <v>1</v>
      </c>
      <c r="N29" s="8"/>
      <c r="O29" s="8">
        <f t="shared" si="6"/>
        <v>4</v>
      </c>
    </row>
    <row r="30" spans="3:18" ht="15" x14ac:dyDescent="0.2">
      <c r="C30" s="9" t="s">
        <v>75</v>
      </c>
      <c r="D30" s="8"/>
      <c r="E30" s="8"/>
      <c r="F30" s="8"/>
      <c r="G30" s="8">
        <f t="shared" si="4"/>
        <v>0</v>
      </c>
      <c r="H30" s="8">
        <v>15</v>
      </c>
      <c r="I30" s="8">
        <v>8</v>
      </c>
      <c r="J30" s="8">
        <v>4</v>
      </c>
      <c r="K30" s="8">
        <f t="shared" si="5"/>
        <v>27</v>
      </c>
      <c r="L30" s="8">
        <v>1</v>
      </c>
      <c r="M30" s="8">
        <v>2</v>
      </c>
      <c r="N30" s="8"/>
      <c r="O30" s="8">
        <f t="shared" si="6"/>
        <v>3</v>
      </c>
    </row>
    <row r="31" spans="3:18" x14ac:dyDescent="0.2">
      <c r="C31" s="45" t="s">
        <v>165</v>
      </c>
      <c r="D31" s="45">
        <f>SUM(D25:D30)</f>
        <v>0</v>
      </c>
      <c r="E31" s="45">
        <f t="shared" ref="E31:O31" si="9">SUM(E25:E30)</f>
        <v>0</v>
      </c>
      <c r="F31" s="45">
        <f t="shared" si="9"/>
        <v>0</v>
      </c>
      <c r="G31" s="45">
        <f t="shared" si="9"/>
        <v>0</v>
      </c>
      <c r="H31" s="45">
        <f t="shared" si="9"/>
        <v>58</v>
      </c>
      <c r="I31" s="45">
        <f t="shared" si="9"/>
        <v>15</v>
      </c>
      <c r="J31" s="45">
        <f t="shared" si="9"/>
        <v>11</v>
      </c>
      <c r="K31" s="45">
        <f t="shared" si="9"/>
        <v>84</v>
      </c>
      <c r="L31" s="45">
        <f t="shared" si="9"/>
        <v>7</v>
      </c>
      <c r="M31" s="45">
        <f t="shared" si="9"/>
        <v>3</v>
      </c>
      <c r="N31" s="45">
        <f t="shared" si="9"/>
        <v>1</v>
      </c>
      <c r="O31" s="45">
        <f t="shared" si="9"/>
        <v>11</v>
      </c>
    </row>
    <row r="32" spans="3:18" ht="15" x14ac:dyDescent="0.2">
      <c r="C32" s="7"/>
    </row>
    <row r="35" spans="3:8" x14ac:dyDescent="0.2">
      <c r="C35" s="45" t="s">
        <v>161</v>
      </c>
      <c r="D35" s="46" t="s">
        <v>162</v>
      </c>
      <c r="E35" s="46" t="s">
        <v>163</v>
      </c>
      <c r="G35" s="178"/>
      <c r="H35" s="178"/>
    </row>
    <row r="36" spans="3:8" x14ac:dyDescent="0.2">
      <c r="C36" s="8" t="s">
        <v>158</v>
      </c>
      <c r="D36" s="8" t="s">
        <v>76</v>
      </c>
      <c r="E36" s="8">
        <v>37473804</v>
      </c>
    </row>
    <row r="37" spans="3:8" x14ac:dyDescent="0.2">
      <c r="C37" s="8" t="s">
        <v>159</v>
      </c>
      <c r="D37" s="8" t="s">
        <v>77</v>
      </c>
      <c r="E37" s="47">
        <v>36349590</v>
      </c>
    </row>
    <row r="38" spans="3:8" x14ac:dyDescent="0.2">
      <c r="C38" s="8" t="s">
        <v>160</v>
      </c>
      <c r="D38" s="8" t="s">
        <v>78</v>
      </c>
      <c r="E38" s="47">
        <v>1124214</v>
      </c>
    </row>
    <row r="39" spans="3:8" x14ac:dyDescent="0.2">
      <c r="C39" s="8" t="s">
        <v>164</v>
      </c>
      <c r="D39" s="8" t="s">
        <v>79</v>
      </c>
      <c r="E39" s="8">
        <v>2</v>
      </c>
    </row>
    <row r="40" spans="3:8" x14ac:dyDescent="0.2">
      <c r="C40" s="53" t="s">
        <v>166</v>
      </c>
      <c r="D40" s="53" t="s">
        <v>139</v>
      </c>
      <c r="E40" s="48">
        <f>SIGN(E37-E38)*LOG(ABS(E37-E38)+(E36/10),E39)</f>
        <v>25.215962635851429</v>
      </c>
    </row>
  </sheetData>
  <mergeCells count="9">
    <mergeCell ref="C2:C3"/>
    <mergeCell ref="C23:C24"/>
    <mergeCell ref="G35:H35"/>
    <mergeCell ref="H23:K23"/>
    <mergeCell ref="L23:O23"/>
    <mergeCell ref="D2:G2"/>
    <mergeCell ref="H2:K2"/>
    <mergeCell ref="L2:O2"/>
    <mergeCell ref="D23:G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802E-7E57-0F45-A7E5-2DB598F68E6B}">
  <sheetPr codeName="Sheet4"/>
  <dimension ref="C2:R33"/>
  <sheetViews>
    <sheetView topLeftCell="B1" workbookViewId="0">
      <selection activeCell="R22" sqref="R22"/>
    </sheetView>
  </sheetViews>
  <sheetFormatPr baseColWidth="10" defaultColWidth="11" defaultRowHeight="16" x14ac:dyDescent="0.2"/>
  <cols>
    <col min="3" max="3" width="23.5" customWidth="1"/>
    <col min="4" max="4" width="13.83203125" customWidth="1"/>
    <col min="5" max="5" width="14.6640625" customWidth="1"/>
    <col min="8" max="8" width="13.5" customWidth="1"/>
    <col min="9" max="9" width="16" customWidth="1"/>
    <col min="12" max="12" width="12.5" customWidth="1"/>
    <col min="13" max="13" width="17.1640625" customWidth="1"/>
    <col min="17" max="17" width="38.83203125" customWidth="1"/>
  </cols>
  <sheetData>
    <row r="2" spans="3:18" ht="15" customHeight="1" x14ac:dyDescent="0.2">
      <c r="C2" s="176" t="s">
        <v>154</v>
      </c>
      <c r="D2" s="179" t="s">
        <v>151</v>
      </c>
      <c r="E2" s="179"/>
      <c r="F2" s="179"/>
      <c r="G2" s="179"/>
      <c r="H2" s="179" t="s">
        <v>152</v>
      </c>
      <c r="I2" s="179"/>
      <c r="J2" s="179"/>
      <c r="K2" s="179"/>
      <c r="L2" s="179" t="s">
        <v>153</v>
      </c>
      <c r="M2" s="179"/>
      <c r="N2" s="179"/>
      <c r="O2" s="179"/>
    </row>
    <row r="3" spans="3:18" ht="15" customHeight="1" x14ac:dyDescent="0.2">
      <c r="C3" s="177"/>
      <c r="D3" s="45" t="s">
        <v>148</v>
      </c>
      <c r="E3" s="45" t="s">
        <v>149</v>
      </c>
      <c r="F3" s="45" t="s">
        <v>150</v>
      </c>
      <c r="G3" s="45" t="s">
        <v>55</v>
      </c>
      <c r="H3" s="45" t="s">
        <v>148</v>
      </c>
      <c r="I3" s="45" t="s">
        <v>149</v>
      </c>
      <c r="J3" s="45" t="s">
        <v>150</v>
      </c>
      <c r="K3" s="45" t="s">
        <v>55</v>
      </c>
      <c r="L3" s="45" t="s">
        <v>148</v>
      </c>
      <c r="M3" s="45" t="s">
        <v>149</v>
      </c>
      <c r="N3" s="45" t="s">
        <v>150</v>
      </c>
      <c r="O3" s="45" t="s">
        <v>55</v>
      </c>
    </row>
    <row r="4" spans="3:18" ht="30" customHeight="1" x14ac:dyDescent="0.2">
      <c r="C4" s="9" t="s">
        <v>80</v>
      </c>
      <c r="D4" s="8"/>
      <c r="E4" s="8"/>
      <c r="F4" s="8">
        <v>1</v>
      </c>
      <c r="G4" s="8">
        <f>D4+E4+F4</f>
        <v>1</v>
      </c>
      <c r="H4" s="8"/>
      <c r="I4" s="8"/>
      <c r="J4" s="8"/>
      <c r="K4" s="8">
        <f>H4+I4+J4</f>
        <v>0</v>
      </c>
      <c r="L4" s="8"/>
      <c r="M4" s="8"/>
      <c r="N4" s="8"/>
      <c r="O4" s="8">
        <f>L4+M4+N4</f>
        <v>0</v>
      </c>
      <c r="Q4" s="10" t="s">
        <v>50</v>
      </c>
      <c r="R4" s="8">
        <f>G12+K12+O12</f>
        <v>267</v>
      </c>
    </row>
    <row r="5" spans="3:18" ht="17" x14ac:dyDescent="0.2">
      <c r="C5" s="9" t="s">
        <v>75</v>
      </c>
      <c r="D5" s="8"/>
      <c r="E5" s="8"/>
      <c r="F5" s="8"/>
      <c r="G5" s="8">
        <f t="shared" ref="G5:G11" si="0">D5+E5+F5</f>
        <v>0</v>
      </c>
      <c r="H5" s="8">
        <v>12</v>
      </c>
      <c r="I5" s="8">
        <v>5</v>
      </c>
      <c r="J5" s="8">
        <v>8</v>
      </c>
      <c r="K5" s="8">
        <f t="shared" ref="K5:K11" si="1">H5+I5+J5</f>
        <v>25</v>
      </c>
      <c r="L5" s="8">
        <v>1</v>
      </c>
      <c r="M5" s="8">
        <v>1</v>
      </c>
      <c r="N5" s="8">
        <v>1</v>
      </c>
      <c r="O5" s="8">
        <f t="shared" ref="O5:O11" si="2">L5+M5+N5</f>
        <v>3</v>
      </c>
      <c r="Q5" s="10" t="s">
        <v>148</v>
      </c>
      <c r="R5" s="8">
        <f>D12+H12+L12</f>
        <v>143</v>
      </c>
    </row>
    <row r="6" spans="3:18" ht="17" x14ac:dyDescent="0.2">
      <c r="C6" s="9" t="s">
        <v>81</v>
      </c>
      <c r="D6" s="8"/>
      <c r="E6" s="8"/>
      <c r="F6" s="8"/>
      <c r="G6" s="8">
        <f t="shared" si="0"/>
        <v>0</v>
      </c>
      <c r="H6" s="8">
        <v>17</v>
      </c>
      <c r="I6" s="8">
        <v>6</v>
      </c>
      <c r="J6" s="8">
        <v>7</v>
      </c>
      <c r="K6" s="8">
        <f t="shared" si="1"/>
        <v>30</v>
      </c>
      <c r="L6" s="8"/>
      <c r="M6" s="8">
        <v>4</v>
      </c>
      <c r="N6" s="8">
        <v>2</v>
      </c>
      <c r="O6" s="8">
        <f t="shared" si="2"/>
        <v>6</v>
      </c>
      <c r="Q6" s="10" t="s">
        <v>167</v>
      </c>
      <c r="R6" s="8">
        <f>E12+I12+M12</f>
        <v>56</v>
      </c>
    </row>
    <row r="7" spans="3:18" ht="17" x14ac:dyDescent="0.2">
      <c r="C7" s="9" t="s">
        <v>59</v>
      </c>
      <c r="D7" s="8">
        <v>1</v>
      </c>
      <c r="E7" s="8"/>
      <c r="F7" s="8"/>
      <c r="G7" s="8">
        <f t="shared" si="0"/>
        <v>1</v>
      </c>
      <c r="H7" s="8">
        <v>44</v>
      </c>
      <c r="I7" s="8">
        <v>15</v>
      </c>
      <c r="J7" s="8">
        <v>18</v>
      </c>
      <c r="K7" s="8">
        <f t="shared" si="1"/>
        <v>77</v>
      </c>
      <c r="L7" s="8">
        <v>1</v>
      </c>
      <c r="M7" s="8">
        <v>2</v>
      </c>
      <c r="N7" s="8">
        <v>1</v>
      </c>
      <c r="O7" s="8">
        <f t="shared" si="2"/>
        <v>4</v>
      </c>
      <c r="Q7" s="10" t="s">
        <v>168</v>
      </c>
      <c r="R7" s="8">
        <f>F12+J12+N12</f>
        <v>67</v>
      </c>
    </row>
    <row r="8" spans="3:18" ht="17" x14ac:dyDescent="0.2">
      <c r="C8" s="9" t="s">
        <v>64</v>
      </c>
      <c r="D8" s="8">
        <v>4</v>
      </c>
      <c r="E8" s="8">
        <v>2</v>
      </c>
      <c r="F8" s="8">
        <v>2</v>
      </c>
      <c r="G8" s="8">
        <f t="shared" si="0"/>
        <v>8</v>
      </c>
      <c r="H8" s="8">
        <v>43</v>
      </c>
      <c r="I8" s="8">
        <v>11</v>
      </c>
      <c r="J8" s="8">
        <v>19</v>
      </c>
      <c r="K8" s="8">
        <f t="shared" si="1"/>
        <v>73</v>
      </c>
      <c r="L8" s="8">
        <v>1</v>
      </c>
      <c r="M8" s="8">
        <v>2</v>
      </c>
      <c r="N8" s="8">
        <v>1</v>
      </c>
      <c r="O8" s="8">
        <f t="shared" si="2"/>
        <v>4</v>
      </c>
      <c r="Q8" s="10" t="s">
        <v>169</v>
      </c>
      <c r="R8" s="8">
        <f>R5+(0.5*R6)</f>
        <v>171</v>
      </c>
    </row>
    <row r="9" spans="3:18" ht="15" x14ac:dyDescent="0.2">
      <c r="C9" s="9" t="s">
        <v>62</v>
      </c>
      <c r="D9" s="8">
        <v>1</v>
      </c>
      <c r="E9" s="8"/>
      <c r="F9" s="8"/>
      <c r="G9" s="8">
        <f t="shared" si="0"/>
        <v>1</v>
      </c>
      <c r="H9" s="8">
        <v>7</v>
      </c>
      <c r="I9" s="8">
        <v>4</v>
      </c>
      <c r="J9" s="8">
        <v>1</v>
      </c>
      <c r="K9" s="8">
        <f t="shared" si="1"/>
        <v>12</v>
      </c>
      <c r="L9" s="8">
        <v>1</v>
      </c>
      <c r="M9" s="8"/>
      <c r="N9" s="8"/>
      <c r="O9" s="8">
        <f t="shared" si="2"/>
        <v>1</v>
      </c>
      <c r="Q9" s="11" t="s">
        <v>157</v>
      </c>
      <c r="R9" s="12">
        <f>R8/R4</f>
        <v>0.6404494382022472</v>
      </c>
    </row>
    <row r="10" spans="3:18" ht="15" x14ac:dyDescent="0.2">
      <c r="C10" s="9" t="s">
        <v>68</v>
      </c>
      <c r="D10" s="8"/>
      <c r="E10" s="8"/>
      <c r="F10" s="8"/>
      <c r="G10" s="8">
        <f t="shared" si="0"/>
        <v>0</v>
      </c>
      <c r="H10" s="8">
        <v>3</v>
      </c>
      <c r="I10" s="8">
        <v>1</v>
      </c>
      <c r="J10" s="8">
        <v>2</v>
      </c>
      <c r="K10" s="8">
        <f t="shared" si="1"/>
        <v>6</v>
      </c>
      <c r="L10" s="8">
        <v>1</v>
      </c>
      <c r="M10" s="8"/>
      <c r="N10" s="8"/>
      <c r="O10" s="8">
        <f t="shared" si="2"/>
        <v>1</v>
      </c>
    </row>
    <row r="11" spans="3:18" ht="15" x14ac:dyDescent="0.2">
      <c r="C11" s="49" t="s">
        <v>82</v>
      </c>
      <c r="D11" s="50"/>
      <c r="E11" s="50"/>
      <c r="F11" s="50"/>
      <c r="G11" s="50">
        <f t="shared" si="0"/>
        <v>0</v>
      </c>
      <c r="H11" s="50">
        <v>6</v>
      </c>
      <c r="I11" s="50">
        <v>1</v>
      </c>
      <c r="J11" s="50">
        <v>2</v>
      </c>
      <c r="K11" s="50">
        <f t="shared" si="1"/>
        <v>9</v>
      </c>
      <c r="L11" s="50">
        <v>1</v>
      </c>
      <c r="M11" s="50">
        <v>2</v>
      </c>
      <c r="N11" s="50">
        <v>2</v>
      </c>
      <c r="O11" s="50">
        <f t="shared" si="2"/>
        <v>5</v>
      </c>
    </row>
    <row r="12" spans="3:18" x14ac:dyDescent="0.2">
      <c r="C12" s="75" t="s">
        <v>165</v>
      </c>
      <c r="D12" s="75">
        <f t="shared" ref="D12:K12" si="3">SUM(D4:D11)</f>
        <v>6</v>
      </c>
      <c r="E12" s="75">
        <f t="shared" si="3"/>
        <v>2</v>
      </c>
      <c r="F12" s="75">
        <f t="shared" si="3"/>
        <v>3</v>
      </c>
      <c r="G12" s="75">
        <f t="shared" si="3"/>
        <v>11</v>
      </c>
      <c r="H12" s="75">
        <f t="shared" si="3"/>
        <v>132</v>
      </c>
      <c r="I12" s="75">
        <f t="shared" si="3"/>
        <v>43</v>
      </c>
      <c r="J12" s="75">
        <f t="shared" si="3"/>
        <v>57</v>
      </c>
      <c r="K12" s="75">
        <f t="shared" si="3"/>
        <v>232</v>
      </c>
      <c r="L12" s="75">
        <f>SUM(L4:L10)</f>
        <v>5</v>
      </c>
      <c r="M12" s="75">
        <f>SUM(M4:M11)</f>
        <v>11</v>
      </c>
      <c r="N12" s="75">
        <f>SUM(N4:N11)</f>
        <v>7</v>
      </c>
      <c r="O12" s="75">
        <f>SUM(O4:O11)</f>
        <v>24</v>
      </c>
    </row>
    <row r="16" spans="3:18" ht="29" customHeight="1" x14ac:dyDescent="0.2">
      <c r="C16" s="176" t="s">
        <v>155</v>
      </c>
      <c r="D16" s="179" t="s">
        <v>151</v>
      </c>
      <c r="E16" s="179"/>
      <c r="F16" s="179"/>
      <c r="G16" s="179"/>
      <c r="H16" s="179" t="s">
        <v>152</v>
      </c>
      <c r="I16" s="179"/>
      <c r="J16" s="179"/>
      <c r="K16" s="179"/>
      <c r="L16" s="179" t="s">
        <v>153</v>
      </c>
      <c r="M16" s="179"/>
      <c r="N16" s="179"/>
      <c r="O16" s="179"/>
      <c r="Q16" s="10" t="s">
        <v>53</v>
      </c>
      <c r="R16" s="8">
        <f>G24+K24+O24</f>
        <v>20</v>
      </c>
    </row>
    <row r="17" spans="3:18" ht="17" customHeight="1" x14ac:dyDescent="0.2">
      <c r="C17" s="177"/>
      <c r="D17" s="45" t="s">
        <v>148</v>
      </c>
      <c r="E17" s="45" t="s">
        <v>149</v>
      </c>
      <c r="F17" s="45" t="s">
        <v>150</v>
      </c>
      <c r="G17" s="45" t="s">
        <v>55</v>
      </c>
      <c r="H17" s="45" t="s">
        <v>148</v>
      </c>
      <c r="I17" s="45" t="s">
        <v>149</v>
      </c>
      <c r="J17" s="45" t="s">
        <v>150</v>
      </c>
      <c r="K17" s="45" t="s">
        <v>55</v>
      </c>
      <c r="L17" s="45" t="s">
        <v>148</v>
      </c>
      <c r="M17" s="45" t="s">
        <v>149</v>
      </c>
      <c r="N17" s="45" t="s">
        <v>150</v>
      </c>
      <c r="O17" s="45" t="s">
        <v>55</v>
      </c>
      <c r="Q17" s="10" t="s">
        <v>148</v>
      </c>
      <c r="R17" s="8">
        <f>D24+H24+L24</f>
        <v>14</v>
      </c>
    </row>
    <row r="18" spans="3:18" ht="17" x14ac:dyDescent="0.2">
      <c r="C18" s="9" t="s">
        <v>83</v>
      </c>
      <c r="D18" s="8"/>
      <c r="E18" s="8"/>
      <c r="F18" s="8"/>
      <c r="G18" s="8">
        <f>D18+E18+F18</f>
        <v>0</v>
      </c>
      <c r="H18" s="8">
        <v>3</v>
      </c>
      <c r="I18" s="8">
        <v>1</v>
      </c>
      <c r="J18" s="8">
        <v>3</v>
      </c>
      <c r="K18" s="8">
        <f>H18+I18+J18</f>
        <v>7</v>
      </c>
      <c r="L18" s="8">
        <v>1</v>
      </c>
      <c r="M18" s="8"/>
      <c r="N18" s="8"/>
      <c r="O18" s="8">
        <f>L18+M18+N18</f>
        <v>1</v>
      </c>
      <c r="Q18" s="10" t="s">
        <v>167</v>
      </c>
      <c r="R18" s="8">
        <f>E24+I24+M24</f>
        <v>2</v>
      </c>
    </row>
    <row r="19" spans="3:18" ht="17" x14ac:dyDescent="0.2">
      <c r="C19" s="9" t="s">
        <v>84</v>
      </c>
      <c r="D19" s="8"/>
      <c r="E19" s="8"/>
      <c r="F19" s="8"/>
      <c r="G19" s="8">
        <f>D19+E19+F19</f>
        <v>0</v>
      </c>
      <c r="H19" s="8">
        <v>8</v>
      </c>
      <c r="I19" s="8">
        <v>1</v>
      </c>
      <c r="J19" s="8">
        <v>1</v>
      </c>
      <c r="K19" s="8">
        <f>H19+I19+J19</f>
        <v>10</v>
      </c>
      <c r="L19" s="8">
        <v>2</v>
      </c>
      <c r="M19" s="8"/>
      <c r="N19" s="8"/>
      <c r="O19" s="8">
        <f>L19+M19+N19</f>
        <v>2</v>
      </c>
      <c r="Q19" s="10" t="s">
        <v>168</v>
      </c>
      <c r="R19" s="8">
        <f>F24+J24+N24</f>
        <v>4</v>
      </c>
    </row>
    <row r="20" spans="3:18" ht="17" x14ac:dyDescent="0.2"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Q20" s="10" t="s">
        <v>169</v>
      </c>
      <c r="R20" s="8">
        <f t="shared" ref="R20" si="4">R17+(0.5*R18)</f>
        <v>15</v>
      </c>
    </row>
    <row r="21" spans="3:18" x14ac:dyDescent="0.2"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Q21" s="11" t="s">
        <v>157</v>
      </c>
      <c r="R21" s="12">
        <f t="shared" ref="R21" si="5">R20/R16</f>
        <v>0.75</v>
      </c>
    </row>
    <row r="22" spans="3:18" ht="15" x14ac:dyDescent="0.2"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8" x14ac:dyDescent="0.2">
      <c r="C23" s="49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3:18" x14ac:dyDescent="0.2">
      <c r="C24" s="75" t="s">
        <v>165</v>
      </c>
      <c r="D24" s="75">
        <f t="shared" ref="D24:O24" si="6">SUM(D18:D23)</f>
        <v>0</v>
      </c>
      <c r="E24" s="75">
        <f t="shared" si="6"/>
        <v>0</v>
      </c>
      <c r="F24" s="75">
        <f t="shared" si="6"/>
        <v>0</v>
      </c>
      <c r="G24" s="75">
        <f t="shared" si="6"/>
        <v>0</v>
      </c>
      <c r="H24" s="75">
        <f t="shared" si="6"/>
        <v>11</v>
      </c>
      <c r="I24" s="75">
        <f t="shared" si="6"/>
        <v>2</v>
      </c>
      <c r="J24" s="75">
        <f t="shared" si="6"/>
        <v>4</v>
      </c>
      <c r="K24" s="75">
        <f t="shared" si="6"/>
        <v>17</v>
      </c>
      <c r="L24" s="75">
        <f t="shared" si="6"/>
        <v>3</v>
      </c>
      <c r="M24" s="75">
        <f t="shared" si="6"/>
        <v>0</v>
      </c>
      <c r="N24" s="75">
        <f t="shared" si="6"/>
        <v>0</v>
      </c>
      <c r="O24" s="75">
        <f t="shared" si="6"/>
        <v>3</v>
      </c>
    </row>
    <row r="25" spans="3:18" x14ac:dyDescent="0.2">
      <c r="C25" s="7"/>
    </row>
    <row r="27" spans="3:18" x14ac:dyDescent="0.2">
      <c r="G27" s="180"/>
      <c r="H27" s="180"/>
    </row>
    <row r="28" spans="3:18" x14ac:dyDescent="0.2">
      <c r="C28" s="45" t="s">
        <v>161</v>
      </c>
      <c r="D28" s="46" t="s">
        <v>162</v>
      </c>
      <c r="E28" s="52" t="s">
        <v>163</v>
      </c>
    </row>
    <row r="29" spans="3:18" x14ac:dyDescent="0.2">
      <c r="C29" s="8" t="s">
        <v>158</v>
      </c>
      <c r="D29" s="51" t="s">
        <v>76</v>
      </c>
      <c r="E29" s="9">
        <v>17919</v>
      </c>
    </row>
    <row r="30" spans="3:18" x14ac:dyDescent="0.2">
      <c r="C30" s="8" t="s">
        <v>159</v>
      </c>
      <c r="D30" s="51" t="s">
        <v>77</v>
      </c>
      <c r="E30" s="47">
        <v>14514</v>
      </c>
    </row>
    <row r="31" spans="3:18" x14ac:dyDescent="0.2">
      <c r="C31" s="8" t="s">
        <v>160</v>
      </c>
      <c r="D31" s="51" t="s">
        <v>78</v>
      </c>
      <c r="E31" s="47">
        <v>3405</v>
      </c>
    </row>
    <row r="32" spans="3:18" x14ac:dyDescent="0.2">
      <c r="C32" s="8" t="s">
        <v>164</v>
      </c>
      <c r="D32" s="8" t="s">
        <v>79</v>
      </c>
      <c r="E32" s="53">
        <v>2</v>
      </c>
    </row>
    <row r="33" spans="3:5" x14ac:dyDescent="0.2">
      <c r="C33" s="53" t="s">
        <v>166</v>
      </c>
      <c r="D33" s="53" t="s">
        <v>139</v>
      </c>
      <c r="E33" s="48">
        <f>SIGN(E30-E31)*LOG(ABS(E30-E31)+(E29/10),E32)</f>
        <v>13.655184094829373</v>
      </c>
    </row>
  </sheetData>
  <mergeCells count="9">
    <mergeCell ref="G27:H27"/>
    <mergeCell ref="D2:G2"/>
    <mergeCell ref="H2:K2"/>
    <mergeCell ref="L2:O2"/>
    <mergeCell ref="D16:G16"/>
    <mergeCell ref="H16:K16"/>
    <mergeCell ref="L16:O16"/>
    <mergeCell ref="C2:C3"/>
    <mergeCell ref="C16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4EB8-33C4-2B45-B773-4B61CB983234}">
  <sheetPr codeName="Sheet6"/>
  <dimension ref="B3:Q41"/>
  <sheetViews>
    <sheetView topLeftCell="A3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7.33203125" customWidth="1"/>
    <col min="8" max="8" width="14.5" customWidth="1"/>
    <col min="12" max="12" width="16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80</v>
      </c>
      <c r="C5" s="8"/>
      <c r="D5" s="8"/>
      <c r="E5" s="8"/>
      <c r="F5" s="8">
        <f>C5+D5+E5</f>
        <v>0</v>
      </c>
      <c r="G5" s="8"/>
      <c r="H5" s="8"/>
      <c r="I5" s="8"/>
      <c r="J5" s="8">
        <f>G5+H5+I5</f>
        <v>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550</v>
      </c>
    </row>
    <row r="6" spans="2:17" ht="17" x14ac:dyDescent="0.2">
      <c r="B6" s="9" t="s">
        <v>75</v>
      </c>
      <c r="C6" s="8"/>
      <c r="D6" s="8"/>
      <c r="E6" s="8"/>
      <c r="F6" s="8">
        <f t="shared" ref="F6:F18" si="0">C6+D6+E6</f>
        <v>0</v>
      </c>
      <c r="G6" s="8">
        <v>21</v>
      </c>
      <c r="H6" s="8">
        <v>7</v>
      </c>
      <c r="I6" s="8">
        <v>4</v>
      </c>
      <c r="J6" s="8">
        <f t="shared" ref="J6:J18" si="1">G6+H6+I6</f>
        <v>32</v>
      </c>
      <c r="K6" s="8">
        <v>2</v>
      </c>
      <c r="L6" s="8"/>
      <c r="M6" s="8">
        <v>1</v>
      </c>
      <c r="N6" s="8">
        <f t="shared" ref="N6:N18" si="2">K6+L6+M6</f>
        <v>3</v>
      </c>
      <c r="P6" s="10" t="s">
        <v>148</v>
      </c>
      <c r="Q6" s="8">
        <f>C20+G20+K20</f>
        <v>377</v>
      </c>
    </row>
    <row r="7" spans="2:17" ht="17" x14ac:dyDescent="0.2">
      <c r="B7" s="9" t="s">
        <v>59</v>
      </c>
      <c r="C7" s="8">
        <v>2</v>
      </c>
      <c r="D7" s="8"/>
      <c r="E7" s="8"/>
      <c r="F7" s="8">
        <f t="shared" si="0"/>
        <v>2</v>
      </c>
      <c r="G7" s="8">
        <v>55</v>
      </c>
      <c r="H7" s="8">
        <v>12</v>
      </c>
      <c r="I7" s="8">
        <v>10</v>
      </c>
      <c r="J7" s="8">
        <f t="shared" si="1"/>
        <v>77</v>
      </c>
      <c r="K7" s="8">
        <v>4</v>
      </c>
      <c r="L7" s="8">
        <v>1</v>
      </c>
      <c r="M7" s="8">
        <v>1</v>
      </c>
      <c r="N7" s="8">
        <f t="shared" si="2"/>
        <v>6</v>
      </c>
      <c r="P7" s="10" t="s">
        <v>167</v>
      </c>
      <c r="Q7" s="8">
        <f>D20+H20+L20</f>
        <v>86</v>
      </c>
    </row>
    <row r="8" spans="2:17" ht="17" x14ac:dyDescent="0.2">
      <c r="B8" s="9" t="s">
        <v>85</v>
      </c>
      <c r="C8" s="8">
        <v>1</v>
      </c>
      <c r="D8" s="8"/>
      <c r="E8" s="8"/>
      <c r="F8" s="8">
        <f t="shared" si="0"/>
        <v>1</v>
      </c>
      <c r="G8" s="8">
        <v>20</v>
      </c>
      <c r="H8" s="8">
        <v>12</v>
      </c>
      <c r="I8" s="8">
        <v>3</v>
      </c>
      <c r="J8" s="8">
        <f t="shared" si="1"/>
        <v>35</v>
      </c>
      <c r="K8" s="8">
        <v>2</v>
      </c>
      <c r="L8" s="8"/>
      <c r="M8" s="8"/>
      <c r="N8" s="8">
        <f t="shared" si="2"/>
        <v>2</v>
      </c>
      <c r="P8" s="10" t="s">
        <v>168</v>
      </c>
      <c r="Q8" s="8">
        <f>E20+I20+M20</f>
        <v>87</v>
      </c>
    </row>
    <row r="9" spans="2:17" ht="17" x14ac:dyDescent="0.2">
      <c r="B9" s="9" t="s">
        <v>57</v>
      </c>
      <c r="C9" s="8"/>
      <c r="D9" s="8"/>
      <c r="E9" s="8"/>
      <c r="F9" s="8">
        <f t="shared" si="0"/>
        <v>0</v>
      </c>
      <c r="G9" s="8">
        <v>15</v>
      </c>
      <c r="H9" s="8">
        <v>2</v>
      </c>
      <c r="I9" s="8">
        <v>6</v>
      </c>
      <c r="J9" s="8">
        <f t="shared" si="1"/>
        <v>23</v>
      </c>
      <c r="K9" s="8">
        <v>1</v>
      </c>
      <c r="L9" s="8"/>
      <c r="M9" s="8"/>
      <c r="N9" s="8">
        <f t="shared" si="2"/>
        <v>1</v>
      </c>
      <c r="P9" s="10" t="s">
        <v>169</v>
      </c>
      <c r="Q9" s="8">
        <f>Q6+(0.5*Q7)</f>
        <v>420</v>
      </c>
    </row>
    <row r="10" spans="2:17" ht="15" x14ac:dyDescent="0.2">
      <c r="B10" s="9" t="s">
        <v>58</v>
      </c>
      <c r="C10" s="8">
        <v>3</v>
      </c>
      <c r="D10" s="8"/>
      <c r="E10" s="8"/>
      <c r="F10" s="8">
        <f t="shared" si="0"/>
        <v>3</v>
      </c>
      <c r="G10" s="8">
        <v>48</v>
      </c>
      <c r="H10" s="8">
        <v>7</v>
      </c>
      <c r="I10" s="8">
        <v>11</v>
      </c>
      <c r="J10" s="8">
        <f t="shared" si="1"/>
        <v>66</v>
      </c>
      <c r="K10" s="8">
        <v>4</v>
      </c>
      <c r="L10" s="8">
        <v>1</v>
      </c>
      <c r="M10" s="8">
        <v>1</v>
      </c>
      <c r="N10" s="8">
        <f t="shared" si="2"/>
        <v>6</v>
      </c>
      <c r="P10" s="11" t="s">
        <v>157</v>
      </c>
      <c r="Q10" s="12">
        <f>Q9/Q5</f>
        <v>0.76363636363636367</v>
      </c>
    </row>
    <row r="11" spans="2:17" ht="15" x14ac:dyDescent="0.2">
      <c r="B11" s="9" t="s">
        <v>61</v>
      </c>
      <c r="C11" s="8"/>
      <c r="D11" s="8"/>
      <c r="E11" s="8"/>
      <c r="F11" s="8">
        <f t="shared" si="0"/>
        <v>0</v>
      </c>
      <c r="G11" s="8">
        <v>16</v>
      </c>
      <c r="H11" s="8">
        <v>1</v>
      </c>
      <c r="I11" s="8">
        <v>11</v>
      </c>
      <c r="J11" s="8">
        <f t="shared" si="1"/>
        <v>28</v>
      </c>
      <c r="K11" s="8">
        <v>3</v>
      </c>
      <c r="L11" s="8">
        <v>1</v>
      </c>
      <c r="M11" s="8"/>
      <c r="N11" s="8">
        <f t="shared" si="2"/>
        <v>4</v>
      </c>
    </row>
    <row r="12" spans="2:17" ht="15" x14ac:dyDescent="0.2">
      <c r="B12" s="9" t="s">
        <v>62</v>
      </c>
      <c r="C12" s="8">
        <v>2</v>
      </c>
      <c r="D12" s="8"/>
      <c r="E12" s="8"/>
      <c r="F12" s="8">
        <f t="shared" si="0"/>
        <v>2</v>
      </c>
      <c r="G12" s="8">
        <v>15</v>
      </c>
      <c r="H12" s="8">
        <v>2</v>
      </c>
      <c r="I12" s="8">
        <v>2</v>
      </c>
      <c r="J12" s="8">
        <f t="shared" si="1"/>
        <v>19</v>
      </c>
      <c r="K12" s="8">
        <v>2</v>
      </c>
      <c r="L12" s="8"/>
      <c r="M12" s="8"/>
      <c r="N12" s="8">
        <f t="shared" si="2"/>
        <v>2</v>
      </c>
    </row>
    <row r="13" spans="2:17" ht="15" x14ac:dyDescent="0.2">
      <c r="B13" s="9" t="s">
        <v>64</v>
      </c>
      <c r="C13" s="8">
        <v>9</v>
      </c>
      <c r="D13" s="8">
        <v>1</v>
      </c>
      <c r="E13" s="8"/>
      <c r="F13" s="8">
        <f t="shared" si="0"/>
        <v>10</v>
      </c>
      <c r="G13" s="8">
        <v>53</v>
      </c>
      <c r="H13" s="8">
        <v>12</v>
      </c>
      <c r="I13" s="8">
        <v>11</v>
      </c>
      <c r="J13" s="8">
        <f t="shared" si="1"/>
        <v>76</v>
      </c>
      <c r="K13" s="8"/>
      <c r="L13" s="8"/>
      <c r="M13" s="8"/>
      <c r="N13" s="8">
        <f t="shared" si="2"/>
        <v>0</v>
      </c>
    </row>
    <row r="14" spans="2:17" ht="15" x14ac:dyDescent="0.2">
      <c r="B14" s="9" t="s">
        <v>86</v>
      </c>
      <c r="C14" s="8"/>
      <c r="D14" s="8"/>
      <c r="E14" s="8"/>
      <c r="F14" s="8">
        <f t="shared" si="0"/>
        <v>0</v>
      </c>
      <c r="G14" s="8">
        <v>10</v>
      </c>
      <c r="H14" s="8">
        <v>1</v>
      </c>
      <c r="I14" s="8">
        <v>4</v>
      </c>
      <c r="J14" s="8">
        <f t="shared" si="1"/>
        <v>15</v>
      </c>
      <c r="K14" s="8"/>
      <c r="L14" s="8"/>
      <c r="M14" s="8"/>
      <c r="N14" s="8">
        <f t="shared" si="2"/>
        <v>0</v>
      </c>
    </row>
    <row r="15" spans="2:17" ht="15" x14ac:dyDescent="0.2">
      <c r="B15" s="9" t="s">
        <v>87</v>
      </c>
      <c r="C15" s="8"/>
      <c r="D15" s="8"/>
      <c r="E15" s="8"/>
      <c r="F15" s="8">
        <f t="shared" si="0"/>
        <v>0</v>
      </c>
      <c r="G15" s="8">
        <v>17</v>
      </c>
      <c r="H15" s="8">
        <v>6</v>
      </c>
      <c r="I15" s="8">
        <v>6</v>
      </c>
      <c r="J15" s="8">
        <f t="shared" si="1"/>
        <v>29</v>
      </c>
      <c r="K15" s="8">
        <v>2</v>
      </c>
      <c r="L15" s="8"/>
      <c r="M15" s="8"/>
      <c r="N15" s="8">
        <f t="shared" si="2"/>
        <v>2</v>
      </c>
    </row>
    <row r="16" spans="2:17" ht="15" x14ac:dyDescent="0.2">
      <c r="B16" s="9" t="s">
        <v>88</v>
      </c>
      <c r="C16" s="8">
        <v>2</v>
      </c>
      <c r="D16" s="8"/>
      <c r="E16" s="8"/>
      <c r="F16" s="8">
        <f t="shared" si="0"/>
        <v>2</v>
      </c>
      <c r="G16" s="8">
        <v>9</v>
      </c>
      <c r="H16" s="8">
        <v>7</v>
      </c>
      <c r="I16" s="8">
        <v>2</v>
      </c>
      <c r="J16" s="8">
        <f t="shared" si="1"/>
        <v>18</v>
      </c>
      <c r="K16" s="8">
        <v>1</v>
      </c>
      <c r="L16" s="8"/>
      <c r="M16" s="8"/>
      <c r="N16" s="8">
        <f t="shared" si="2"/>
        <v>1</v>
      </c>
    </row>
    <row r="17" spans="2:17" ht="15" x14ac:dyDescent="0.2">
      <c r="B17" s="9" t="s">
        <v>67</v>
      </c>
      <c r="C17" s="8">
        <v>1</v>
      </c>
      <c r="D17" s="8"/>
      <c r="E17" s="8"/>
      <c r="F17" s="8">
        <f t="shared" si="0"/>
        <v>1</v>
      </c>
      <c r="G17" s="8">
        <v>39</v>
      </c>
      <c r="H17" s="8">
        <v>6</v>
      </c>
      <c r="I17" s="8">
        <v>11</v>
      </c>
      <c r="J17" s="8">
        <f t="shared" si="1"/>
        <v>56</v>
      </c>
      <c r="K17" s="8">
        <v>3</v>
      </c>
      <c r="L17" s="8">
        <v>1</v>
      </c>
      <c r="M17" s="8"/>
      <c r="N17" s="8">
        <f t="shared" si="2"/>
        <v>4</v>
      </c>
    </row>
    <row r="18" spans="2:17" ht="15" x14ac:dyDescent="0.2">
      <c r="B18" s="9" t="s">
        <v>68</v>
      </c>
      <c r="C18" s="8"/>
      <c r="D18" s="8"/>
      <c r="E18" s="8"/>
      <c r="F18" s="8">
        <f t="shared" si="0"/>
        <v>0</v>
      </c>
      <c r="G18" s="8">
        <v>4</v>
      </c>
      <c r="H18" s="8">
        <v>3</v>
      </c>
      <c r="I18" s="8">
        <v>1</v>
      </c>
      <c r="J18" s="8">
        <f t="shared" si="1"/>
        <v>8</v>
      </c>
      <c r="K18" s="8">
        <v>1</v>
      </c>
      <c r="L18" s="8"/>
      <c r="M18" s="8"/>
      <c r="N18" s="8">
        <f t="shared" si="2"/>
        <v>1</v>
      </c>
    </row>
    <row r="19" spans="2:17" ht="15" x14ac:dyDescent="0.2">
      <c r="B19" s="49" t="s">
        <v>69</v>
      </c>
      <c r="C19" s="50">
        <v>1</v>
      </c>
      <c r="D19" s="50"/>
      <c r="E19" s="50"/>
      <c r="F19" s="50">
        <f t="shared" ref="F19" si="3">C19+D19+E19</f>
        <v>1</v>
      </c>
      <c r="G19" s="50">
        <v>8</v>
      </c>
      <c r="H19" s="50">
        <v>3</v>
      </c>
      <c r="I19" s="50">
        <v>2</v>
      </c>
      <c r="J19" s="50">
        <f t="shared" ref="J19" si="4">G19+H19+I19</f>
        <v>13</v>
      </c>
      <c r="K19" s="50">
        <v>1</v>
      </c>
      <c r="L19" s="50"/>
      <c r="M19" s="50"/>
      <c r="N19" s="50">
        <f t="shared" ref="N19" si="5">K19+L19+M19</f>
        <v>1</v>
      </c>
    </row>
    <row r="20" spans="2:17" x14ac:dyDescent="0.2">
      <c r="B20" s="75" t="s">
        <v>165</v>
      </c>
      <c r="C20" s="75">
        <f t="shared" ref="C20:N20" si="6">SUM(C5:C19)</f>
        <v>21</v>
      </c>
      <c r="D20" s="75">
        <f t="shared" si="6"/>
        <v>1</v>
      </c>
      <c r="E20" s="75">
        <f t="shared" si="6"/>
        <v>0</v>
      </c>
      <c r="F20" s="75">
        <f t="shared" si="6"/>
        <v>22</v>
      </c>
      <c r="G20" s="75">
        <f t="shared" si="6"/>
        <v>330</v>
      </c>
      <c r="H20" s="75">
        <f t="shared" si="6"/>
        <v>81</v>
      </c>
      <c r="I20" s="75">
        <f t="shared" si="6"/>
        <v>84</v>
      </c>
      <c r="J20" s="75">
        <f t="shared" si="6"/>
        <v>495</v>
      </c>
      <c r="K20" s="75">
        <f t="shared" si="6"/>
        <v>26</v>
      </c>
      <c r="L20" s="75">
        <f t="shared" si="6"/>
        <v>4</v>
      </c>
      <c r="M20" s="75">
        <f t="shared" si="6"/>
        <v>3</v>
      </c>
      <c r="N20" s="75">
        <f t="shared" si="6"/>
        <v>33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6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4</v>
      </c>
    </row>
    <row r="26" spans="2:17" ht="17" x14ac:dyDescent="0.2">
      <c r="B26" s="9" t="s">
        <v>89</v>
      </c>
      <c r="C26" s="8"/>
      <c r="D26" s="8"/>
      <c r="E26" s="8"/>
      <c r="F26" s="8">
        <f>C26+D26+E26</f>
        <v>0</v>
      </c>
      <c r="G26" s="8">
        <v>4</v>
      </c>
      <c r="H26" s="8">
        <v>1</v>
      </c>
      <c r="I26" s="8">
        <v>1</v>
      </c>
      <c r="J26" s="8">
        <f>G26+H26+I26</f>
        <v>6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1</v>
      </c>
    </row>
    <row r="27" spans="2:17" ht="17" x14ac:dyDescent="0.2"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P27" s="10" t="s">
        <v>168</v>
      </c>
      <c r="Q27" s="8">
        <f>E32+I32+M32</f>
        <v>1</v>
      </c>
    </row>
    <row r="28" spans="2:17" ht="17" x14ac:dyDescent="0.2"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P28" s="10" t="s">
        <v>169</v>
      </c>
      <c r="Q28" s="8">
        <f t="shared" ref="Q28" si="7">Q25+(0.5*Q26)</f>
        <v>4.5</v>
      </c>
    </row>
    <row r="29" spans="2:17" ht="15" x14ac:dyDescent="0.2"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P29" s="11" t="s">
        <v>157</v>
      </c>
      <c r="Q29" s="12">
        <f t="shared" ref="Q29" si="8">Q28/Q24</f>
        <v>0.75</v>
      </c>
    </row>
    <row r="30" spans="2:17" ht="15" x14ac:dyDescent="0.2"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7" ht="15" x14ac:dyDescent="0.2"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4</v>
      </c>
      <c r="H32" s="75">
        <f t="shared" si="9"/>
        <v>1</v>
      </c>
      <c r="I32" s="75">
        <f t="shared" si="9"/>
        <v>1</v>
      </c>
      <c r="J32" s="75">
        <f t="shared" si="9"/>
        <v>6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 t="shared" si="9"/>
        <v>0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169688</v>
      </c>
    </row>
    <row r="38" spans="2:7" x14ac:dyDescent="0.2">
      <c r="B38" s="77" t="s">
        <v>159</v>
      </c>
      <c r="C38" s="77" t="s">
        <v>77</v>
      </c>
      <c r="D38" s="78">
        <v>139144</v>
      </c>
    </row>
    <row r="39" spans="2:7" x14ac:dyDescent="0.2">
      <c r="B39" s="77" t="s">
        <v>160</v>
      </c>
      <c r="C39" s="77" t="s">
        <v>78</v>
      </c>
      <c r="D39" s="79">
        <v>30544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16.938118517672127</v>
      </c>
    </row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C686-9CA5-3A46-94AF-0274EF277F30}">
  <sheetPr codeName="Sheet7"/>
  <dimension ref="B3:Q43"/>
  <sheetViews>
    <sheetView topLeftCell="A3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5" customWidth="1"/>
    <col min="8" max="8" width="16.5" customWidth="1"/>
    <col min="12" max="12" width="16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80</v>
      </c>
      <c r="C5" s="8"/>
      <c r="D5" s="8"/>
      <c r="E5" s="8">
        <v>1</v>
      </c>
      <c r="F5" s="8">
        <f>C5+D5+E5</f>
        <v>1</v>
      </c>
      <c r="G5" s="8"/>
      <c r="H5" s="8"/>
      <c r="I5" s="8"/>
      <c r="J5" s="8">
        <f>G5+H5+I5</f>
        <v>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126</v>
      </c>
    </row>
    <row r="6" spans="2:17" ht="17" x14ac:dyDescent="0.2">
      <c r="B6" s="9" t="s">
        <v>82</v>
      </c>
      <c r="C6" s="8"/>
      <c r="D6" s="8"/>
      <c r="E6" s="8"/>
      <c r="F6" s="8">
        <f t="shared" ref="F6:F19" si="0">C6+D6+E6</f>
        <v>0</v>
      </c>
      <c r="G6" s="8">
        <v>2</v>
      </c>
      <c r="H6" s="8">
        <v>4</v>
      </c>
      <c r="I6" s="8">
        <v>3</v>
      </c>
      <c r="J6" s="8">
        <f t="shared" ref="J6:J19" si="1">G6+H6+I6</f>
        <v>9</v>
      </c>
      <c r="K6" s="8">
        <v>1</v>
      </c>
      <c r="L6" s="8"/>
      <c r="M6" s="8">
        <v>4</v>
      </c>
      <c r="N6" s="8">
        <f t="shared" ref="N6:N19" si="2">K6+L6+M6</f>
        <v>5</v>
      </c>
      <c r="P6" s="10" t="s">
        <v>148</v>
      </c>
      <c r="Q6" s="8">
        <f>C20+G20+K20</f>
        <v>65</v>
      </c>
    </row>
    <row r="7" spans="2:17" ht="17" x14ac:dyDescent="0.2">
      <c r="B7" s="9" t="s">
        <v>81</v>
      </c>
      <c r="C7" s="8"/>
      <c r="D7" s="8"/>
      <c r="E7" s="8"/>
      <c r="F7" s="8">
        <f t="shared" si="0"/>
        <v>0</v>
      </c>
      <c r="G7" s="8">
        <v>11</v>
      </c>
      <c r="H7" s="8">
        <v>5</v>
      </c>
      <c r="I7" s="8">
        <v>7</v>
      </c>
      <c r="J7" s="8">
        <f t="shared" si="1"/>
        <v>23</v>
      </c>
      <c r="K7" s="8">
        <v>1</v>
      </c>
      <c r="L7" s="8"/>
      <c r="M7" s="8">
        <v>3</v>
      </c>
      <c r="N7" s="8">
        <f t="shared" si="2"/>
        <v>4</v>
      </c>
      <c r="P7" s="10" t="s">
        <v>167</v>
      </c>
      <c r="Q7" s="8">
        <f>D20+H20+L20</f>
        <v>21</v>
      </c>
    </row>
    <row r="8" spans="2:17" ht="17" x14ac:dyDescent="0.2">
      <c r="B8" s="9" t="s">
        <v>64</v>
      </c>
      <c r="C8" s="8">
        <v>5</v>
      </c>
      <c r="D8" s="8">
        <v>1</v>
      </c>
      <c r="E8" s="8">
        <v>2</v>
      </c>
      <c r="F8" s="8">
        <f t="shared" si="0"/>
        <v>8</v>
      </c>
      <c r="G8" s="8">
        <v>36</v>
      </c>
      <c r="H8" s="8">
        <v>11</v>
      </c>
      <c r="I8" s="8">
        <v>18</v>
      </c>
      <c r="J8" s="8">
        <f t="shared" si="1"/>
        <v>65</v>
      </c>
      <c r="K8" s="8">
        <v>4</v>
      </c>
      <c r="L8" s="8"/>
      <c r="M8" s="8">
        <v>1</v>
      </c>
      <c r="N8" s="8">
        <f t="shared" si="2"/>
        <v>5</v>
      </c>
      <c r="P8" s="10" t="s">
        <v>168</v>
      </c>
      <c r="Q8" s="8">
        <f>E20+I20+M20</f>
        <v>40</v>
      </c>
    </row>
    <row r="9" spans="2:17" ht="17" x14ac:dyDescent="0.2">
      <c r="B9" s="9" t="s">
        <v>68</v>
      </c>
      <c r="C9" s="8"/>
      <c r="D9" s="8"/>
      <c r="E9" s="8"/>
      <c r="F9" s="8">
        <f t="shared" si="0"/>
        <v>0</v>
      </c>
      <c r="G9" s="8">
        <v>4</v>
      </c>
      <c r="H9" s="8"/>
      <c r="I9" s="8">
        <v>1</v>
      </c>
      <c r="J9" s="8">
        <f>G9+H9+I9</f>
        <v>5</v>
      </c>
      <c r="K9" s="8">
        <v>1</v>
      </c>
      <c r="L9" s="8"/>
      <c r="M9" s="8"/>
      <c r="N9" s="8">
        <f t="shared" si="2"/>
        <v>1</v>
      </c>
      <c r="P9" s="10" t="s">
        <v>169</v>
      </c>
      <c r="Q9" s="8">
        <f>Q6+(0.5*Q7)</f>
        <v>75.5</v>
      </c>
    </row>
    <row r="10" spans="2:17" ht="15" x14ac:dyDescent="0.2">
      <c r="B10" s="9"/>
      <c r="C10" s="8"/>
      <c r="D10" s="8"/>
      <c r="E10" s="8"/>
      <c r="F10" s="8">
        <f>C10+D10+E10</f>
        <v>0</v>
      </c>
      <c r="G10" s="8"/>
      <c r="H10" s="8"/>
      <c r="I10" s="8"/>
      <c r="J10" s="8">
        <f>G10+H10+I10</f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0.59920634920634919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5</v>
      </c>
      <c r="D20" s="75">
        <f t="shared" si="3"/>
        <v>1</v>
      </c>
      <c r="E20" s="75">
        <f t="shared" si="3"/>
        <v>3</v>
      </c>
      <c r="F20" s="75">
        <f t="shared" si="3"/>
        <v>9</v>
      </c>
      <c r="G20" s="75">
        <f t="shared" si="3"/>
        <v>53</v>
      </c>
      <c r="H20" s="75">
        <f t="shared" si="3"/>
        <v>20</v>
      </c>
      <c r="I20" s="75">
        <f t="shared" si="3"/>
        <v>29</v>
      </c>
      <c r="J20" s="75">
        <f t="shared" si="3"/>
        <v>102</v>
      </c>
      <c r="K20" s="75">
        <f t="shared" si="3"/>
        <v>7</v>
      </c>
      <c r="L20" s="75">
        <f t="shared" si="3"/>
        <v>0</v>
      </c>
      <c r="M20" s="75">
        <f t="shared" si="3"/>
        <v>8</v>
      </c>
      <c r="N20" s="75">
        <f t="shared" si="3"/>
        <v>15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7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4</v>
      </c>
    </row>
    <row r="26" spans="2:17" ht="17" x14ac:dyDescent="0.2">
      <c r="B26" s="9" t="s">
        <v>90</v>
      </c>
      <c r="C26" s="8"/>
      <c r="D26" s="8"/>
      <c r="E26" s="8"/>
      <c r="F26" s="8">
        <f>C26+D26+E26</f>
        <v>0</v>
      </c>
      <c r="G26" s="8">
        <v>3</v>
      </c>
      <c r="H26" s="8">
        <v>2</v>
      </c>
      <c r="I26" s="8">
        <v>1</v>
      </c>
      <c r="J26" s="8">
        <f>G26+H26+I26</f>
        <v>6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2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0.7142857142857143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3</v>
      </c>
      <c r="H32" s="75">
        <f t="shared" si="9"/>
        <v>2</v>
      </c>
      <c r="I32" s="75">
        <f t="shared" si="9"/>
        <v>1</v>
      </c>
      <c r="J32" s="75">
        <f t="shared" si="9"/>
        <v>6</v>
      </c>
      <c r="K32" s="75">
        <f t="shared" si="9"/>
        <v>1</v>
      </c>
      <c r="L32" s="75">
        <f t="shared" si="9"/>
        <v>0</v>
      </c>
      <c r="M32" s="75">
        <f t="shared" si="9"/>
        <v>0</v>
      </c>
      <c r="N32" s="75">
        <f t="shared" si="9"/>
        <v>1</v>
      </c>
    </row>
    <row r="35" spans="2:7" x14ac:dyDescent="0.2">
      <c r="C35" s="180"/>
      <c r="D35" s="180"/>
      <c r="F35" s="180"/>
      <c r="G35" s="180"/>
    </row>
    <row r="36" spans="2:7" ht="15" customHeight="1" x14ac:dyDescent="0.2">
      <c r="B36" s="75" t="s">
        <v>161</v>
      </c>
      <c r="C36" s="80" t="s">
        <v>162</v>
      </c>
      <c r="D36" s="80" t="s">
        <v>163</v>
      </c>
    </row>
    <row r="37" spans="2:7" ht="15" customHeight="1" x14ac:dyDescent="0.2">
      <c r="B37" s="77" t="s">
        <v>158</v>
      </c>
      <c r="C37" s="77" t="s">
        <v>76</v>
      </c>
      <c r="D37" s="77">
        <v>52204</v>
      </c>
    </row>
    <row r="38" spans="2:7" ht="15" customHeight="1" x14ac:dyDescent="0.2">
      <c r="B38" s="77" t="s">
        <v>159</v>
      </c>
      <c r="C38" s="77" t="s">
        <v>77</v>
      </c>
      <c r="D38" s="78">
        <v>49072</v>
      </c>
    </row>
    <row r="39" spans="2:7" x14ac:dyDescent="0.2">
      <c r="B39" s="77" t="s">
        <v>160</v>
      </c>
      <c r="C39" s="77" t="s">
        <v>78</v>
      </c>
      <c r="D39" s="79">
        <v>3132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ht="15" customHeight="1" x14ac:dyDescent="0.2">
      <c r="B41" s="53" t="s">
        <v>166</v>
      </c>
      <c r="C41" s="53" t="s">
        <v>139</v>
      </c>
      <c r="D41" s="76">
        <f>SIGN(D38-D39)*LOG(ABS(D38-D39)+(D37/10),D40)</f>
        <v>15.642739923592307</v>
      </c>
    </row>
    <row r="43" spans="2:7" ht="15" x14ac:dyDescent="0.2"/>
  </sheetData>
  <mergeCells count="10">
    <mergeCell ref="C35:D35"/>
    <mergeCell ref="F35:G35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C0B7-C9F0-C54B-B3B0-D65278CC9C0C}">
  <sheetPr codeName="Sheet8"/>
  <dimension ref="B3:Q43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5" customWidth="1"/>
    <col min="8" max="8" width="15" customWidth="1"/>
    <col min="12" max="12" width="14.6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91</v>
      </c>
      <c r="C5" s="8"/>
      <c r="D5" s="8"/>
      <c r="E5" s="8"/>
      <c r="F5" s="8">
        <f>C5+D5+E5</f>
        <v>0</v>
      </c>
      <c r="G5" s="8">
        <v>5</v>
      </c>
      <c r="H5" s="8">
        <v>1</v>
      </c>
      <c r="I5" s="8">
        <v>4</v>
      </c>
      <c r="J5" s="8">
        <f>G5+H5+I5</f>
        <v>10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85</v>
      </c>
    </row>
    <row r="6" spans="2:17" ht="17" x14ac:dyDescent="0.2">
      <c r="B6" s="9" t="s">
        <v>66</v>
      </c>
      <c r="C6" s="8"/>
      <c r="D6" s="8"/>
      <c r="E6" s="8"/>
      <c r="F6" s="8">
        <f t="shared" ref="F6:F19" si="0">C6+D6+E6</f>
        <v>0</v>
      </c>
      <c r="G6" s="8">
        <v>9</v>
      </c>
      <c r="H6" s="8">
        <v>2</v>
      </c>
      <c r="I6" s="8">
        <v>3</v>
      </c>
      <c r="J6" s="8">
        <f t="shared" ref="J6:J19" si="1">G6+H6+I6</f>
        <v>14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53</v>
      </c>
    </row>
    <row r="7" spans="2:17" ht="17" x14ac:dyDescent="0.2">
      <c r="B7" s="9" t="s">
        <v>59</v>
      </c>
      <c r="C7" s="8"/>
      <c r="D7" s="8"/>
      <c r="E7" s="8"/>
      <c r="F7" s="8">
        <f>C7+D7+E7</f>
        <v>0</v>
      </c>
      <c r="G7" s="8">
        <v>37</v>
      </c>
      <c r="H7" s="8">
        <v>9</v>
      </c>
      <c r="I7" s="8">
        <v>10</v>
      </c>
      <c r="J7" s="8">
        <f>G7+H7+I7</f>
        <v>56</v>
      </c>
      <c r="K7" s="8">
        <v>1</v>
      </c>
      <c r="L7" s="8">
        <v>1</v>
      </c>
      <c r="M7" s="8">
        <v>2</v>
      </c>
      <c r="N7" s="8">
        <f t="shared" si="2"/>
        <v>4</v>
      </c>
      <c r="P7" s="10" t="s">
        <v>167</v>
      </c>
      <c r="Q7" s="8">
        <f>D20+H20+L20</f>
        <v>13</v>
      </c>
    </row>
    <row r="8" spans="2:17" ht="17" x14ac:dyDescent="0.2">
      <c r="B8" s="9"/>
      <c r="C8" s="8"/>
      <c r="D8" s="8"/>
      <c r="E8" s="8"/>
      <c r="F8" s="8">
        <f t="shared" si="0"/>
        <v>0</v>
      </c>
      <c r="G8" s="8"/>
      <c r="H8" s="8"/>
      <c r="I8" s="8"/>
      <c r="J8" s="8">
        <f t="shared" si="1"/>
        <v>0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19</v>
      </c>
    </row>
    <row r="9" spans="2:17" ht="17" x14ac:dyDescent="0.2">
      <c r="B9" s="9"/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59.5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0.7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51</v>
      </c>
      <c r="H20" s="75">
        <f t="shared" si="3"/>
        <v>12</v>
      </c>
      <c r="I20" s="75">
        <f t="shared" si="3"/>
        <v>17</v>
      </c>
      <c r="J20" s="75">
        <f t="shared" si="3"/>
        <v>80</v>
      </c>
      <c r="K20" s="75">
        <f t="shared" si="3"/>
        <v>2</v>
      </c>
      <c r="L20" s="75">
        <f t="shared" si="3"/>
        <v>1</v>
      </c>
      <c r="M20" s="75">
        <f t="shared" si="3"/>
        <v>2</v>
      </c>
      <c r="N20" s="75">
        <f t="shared" si="3"/>
        <v>5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11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10</v>
      </c>
    </row>
    <row r="26" spans="2:17" ht="17" x14ac:dyDescent="0.2">
      <c r="B26" s="9" t="s">
        <v>84</v>
      </c>
      <c r="C26" s="8"/>
      <c r="D26" s="8"/>
      <c r="E26" s="8"/>
      <c r="F26" s="8">
        <f>C26+D26+E26</f>
        <v>0</v>
      </c>
      <c r="G26" s="8">
        <v>8</v>
      </c>
      <c r="H26" s="8"/>
      <c r="I26" s="8">
        <v>1</v>
      </c>
      <c r="J26" s="8">
        <f>G26+H26+I26</f>
        <v>9</v>
      </c>
      <c r="K26" s="8">
        <v>2</v>
      </c>
      <c r="L26" s="8"/>
      <c r="M26" s="8"/>
      <c r="N26" s="8">
        <f>K26+L26+M26</f>
        <v>2</v>
      </c>
      <c r="P26" s="10" t="s">
        <v>167</v>
      </c>
      <c r="Q26" s="8">
        <f>D32+H32+L32</f>
        <v>0</v>
      </c>
    </row>
    <row r="27" spans="2:17" ht="17" x14ac:dyDescent="0.2">
      <c r="B27" s="9" t="s">
        <v>70</v>
      </c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10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0.90909090909090906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8</v>
      </c>
      <c r="H32" s="75">
        <f t="shared" si="9"/>
        <v>0</v>
      </c>
      <c r="I32" s="75">
        <f t="shared" si="9"/>
        <v>1</v>
      </c>
      <c r="J32" s="75">
        <f t="shared" si="9"/>
        <v>9</v>
      </c>
      <c r="K32" s="75">
        <f t="shared" si="9"/>
        <v>2</v>
      </c>
      <c r="L32" s="75">
        <f t="shared" si="9"/>
        <v>0</v>
      </c>
      <c r="M32" s="75">
        <f t="shared" si="9"/>
        <v>0</v>
      </c>
      <c r="N32" s="75">
        <f t="shared" si="9"/>
        <v>2</v>
      </c>
    </row>
    <row r="35" spans="2:7" x14ac:dyDescent="0.2">
      <c r="C35" s="180"/>
      <c r="D35" s="180"/>
      <c r="F35" s="180"/>
      <c r="G35" s="180"/>
    </row>
    <row r="36" spans="2:7" x14ac:dyDescent="0.2">
      <c r="B36" s="75" t="s">
        <v>161</v>
      </c>
      <c r="C36" s="80" t="s">
        <v>162</v>
      </c>
      <c r="D36" s="80" t="s">
        <v>163</v>
      </c>
    </row>
    <row r="37" spans="2:7" x14ac:dyDescent="0.2">
      <c r="B37" s="77" t="s">
        <v>158</v>
      </c>
      <c r="C37" s="77" t="s">
        <v>76</v>
      </c>
      <c r="D37" s="77">
        <v>336619</v>
      </c>
    </row>
    <row r="38" spans="2:7" x14ac:dyDescent="0.2">
      <c r="B38" s="77" t="s">
        <v>159</v>
      </c>
      <c r="C38" s="77" t="s">
        <v>77</v>
      </c>
      <c r="D38" s="78">
        <v>299591</v>
      </c>
    </row>
    <row r="39" spans="2:7" x14ac:dyDescent="0.2">
      <c r="B39" s="77" t="s">
        <v>160</v>
      </c>
      <c r="C39" s="77" t="s">
        <v>78</v>
      </c>
      <c r="D39" s="79">
        <v>37028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18.176333389866638</v>
      </c>
    </row>
    <row r="43" spans="2:7" ht="15" x14ac:dyDescent="0.2"/>
  </sheetData>
  <mergeCells count="10">
    <mergeCell ref="C35:D35"/>
    <mergeCell ref="F35:G35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65D5-9BF3-2A4B-BC43-642A8CA109F2}">
  <sheetPr codeName="Sheet5"/>
  <dimension ref="C2:R34"/>
  <sheetViews>
    <sheetView topLeftCell="B1" workbookViewId="0">
      <selection activeCell="Q16" sqref="Q16:Q20"/>
    </sheetView>
  </sheetViews>
  <sheetFormatPr baseColWidth="10" defaultColWidth="11" defaultRowHeight="16" x14ac:dyDescent="0.2"/>
  <cols>
    <col min="3" max="3" width="24" customWidth="1"/>
    <col min="4" max="4" width="13" customWidth="1"/>
    <col min="5" max="5" width="14.6640625" customWidth="1"/>
    <col min="8" max="8" width="13.83203125" customWidth="1"/>
    <col min="9" max="9" width="14.33203125" customWidth="1"/>
    <col min="12" max="12" width="14.1640625" customWidth="1"/>
    <col min="13" max="13" width="14.6640625" customWidth="1"/>
    <col min="17" max="17" width="39.33203125" customWidth="1"/>
  </cols>
  <sheetData>
    <row r="2" spans="3:18" ht="15" customHeight="1" x14ac:dyDescent="0.2">
      <c r="C2" s="176" t="s">
        <v>154</v>
      </c>
      <c r="D2" s="179" t="s">
        <v>151</v>
      </c>
      <c r="E2" s="179"/>
      <c r="F2" s="179"/>
      <c r="G2" s="179"/>
      <c r="H2" s="179" t="s">
        <v>152</v>
      </c>
      <c r="I2" s="179"/>
      <c r="J2" s="179"/>
      <c r="K2" s="179"/>
      <c r="L2" s="179" t="s">
        <v>153</v>
      </c>
      <c r="M2" s="179"/>
      <c r="N2" s="179"/>
      <c r="O2" s="179"/>
    </row>
    <row r="3" spans="3:18" ht="15" customHeight="1" x14ac:dyDescent="0.2">
      <c r="C3" s="177"/>
      <c r="D3" s="45" t="s">
        <v>148</v>
      </c>
      <c r="E3" s="45" t="s">
        <v>149</v>
      </c>
      <c r="F3" s="45" t="s">
        <v>150</v>
      </c>
      <c r="G3" s="45" t="s">
        <v>55</v>
      </c>
      <c r="H3" s="45" t="s">
        <v>148</v>
      </c>
      <c r="I3" s="45" t="s">
        <v>149</v>
      </c>
      <c r="J3" s="45" t="s">
        <v>150</v>
      </c>
      <c r="K3" s="45" t="s">
        <v>55</v>
      </c>
      <c r="L3" s="45" t="s">
        <v>148</v>
      </c>
      <c r="M3" s="45" t="s">
        <v>149</v>
      </c>
      <c r="N3" s="45" t="s">
        <v>150</v>
      </c>
      <c r="O3" s="45" t="s">
        <v>55</v>
      </c>
    </row>
    <row r="4" spans="3:18" ht="34" x14ac:dyDescent="0.2">
      <c r="C4" s="9" t="s">
        <v>92</v>
      </c>
      <c r="D4" s="8"/>
      <c r="E4" s="8"/>
      <c r="F4" s="8"/>
      <c r="G4" s="8">
        <f t="shared" ref="G4:G9" si="0">D4+E4+F4</f>
        <v>0</v>
      </c>
      <c r="H4" s="8">
        <v>10</v>
      </c>
      <c r="I4" s="8">
        <v>4</v>
      </c>
      <c r="J4" s="8">
        <v>12</v>
      </c>
      <c r="K4" s="8">
        <f t="shared" ref="K4:K9" si="1">H4+I4+J4</f>
        <v>26</v>
      </c>
      <c r="L4" s="8">
        <v>1</v>
      </c>
      <c r="M4" s="8"/>
      <c r="N4" s="8"/>
      <c r="O4" s="8">
        <f t="shared" ref="O4:O9" si="2">L4+M4+N4</f>
        <v>1</v>
      </c>
      <c r="Q4" s="10" t="s">
        <v>50</v>
      </c>
      <c r="R4" s="8">
        <f>G12+K12+O12</f>
        <v>121</v>
      </c>
    </row>
    <row r="5" spans="3:18" ht="17" x14ac:dyDescent="0.2">
      <c r="C5" s="9" t="s">
        <v>93</v>
      </c>
      <c r="D5" s="8">
        <v>1</v>
      </c>
      <c r="E5" s="8"/>
      <c r="F5" s="8"/>
      <c r="G5" s="8">
        <f t="shared" si="0"/>
        <v>1</v>
      </c>
      <c r="H5" s="8">
        <v>9</v>
      </c>
      <c r="I5" s="8">
        <v>1</v>
      </c>
      <c r="J5" s="8">
        <v>2</v>
      </c>
      <c r="K5" s="8">
        <f t="shared" si="1"/>
        <v>12</v>
      </c>
      <c r="L5" s="8">
        <v>2</v>
      </c>
      <c r="M5" s="8"/>
      <c r="N5" s="8"/>
      <c r="O5" s="8">
        <f t="shared" si="2"/>
        <v>2</v>
      </c>
      <c r="Q5" s="10" t="s">
        <v>148</v>
      </c>
      <c r="R5" s="8">
        <f>D12+H12+L12</f>
        <v>75</v>
      </c>
    </row>
    <row r="6" spans="3:18" ht="17" x14ac:dyDescent="0.2">
      <c r="C6" s="9" t="s">
        <v>70</v>
      </c>
      <c r="D6" s="8"/>
      <c r="E6" s="8"/>
      <c r="F6" s="8"/>
      <c r="G6" s="8">
        <f t="shared" si="0"/>
        <v>0</v>
      </c>
      <c r="H6" s="8"/>
      <c r="I6" s="8"/>
      <c r="J6" s="8"/>
      <c r="K6" s="8">
        <f t="shared" si="1"/>
        <v>0</v>
      </c>
      <c r="L6" s="8"/>
      <c r="M6" s="8"/>
      <c r="N6" s="8"/>
      <c r="O6" s="8">
        <f t="shared" si="2"/>
        <v>0</v>
      </c>
      <c r="Q6" s="10" t="s">
        <v>167</v>
      </c>
      <c r="R6" s="8">
        <f>E12+I12+M12</f>
        <v>20</v>
      </c>
    </row>
    <row r="7" spans="3:18" ht="17" x14ac:dyDescent="0.2">
      <c r="C7" s="9" t="s">
        <v>60</v>
      </c>
      <c r="D7" s="8"/>
      <c r="E7" s="8"/>
      <c r="F7" s="8"/>
      <c r="G7" s="8">
        <f t="shared" si="0"/>
        <v>0</v>
      </c>
      <c r="H7" s="8">
        <v>2</v>
      </c>
      <c r="I7" s="8">
        <v>2</v>
      </c>
      <c r="J7" s="8">
        <v>2</v>
      </c>
      <c r="K7" s="8">
        <f t="shared" si="1"/>
        <v>6</v>
      </c>
      <c r="L7" s="8"/>
      <c r="M7" s="8"/>
      <c r="N7" s="8"/>
      <c r="O7" s="8">
        <f t="shared" si="2"/>
        <v>0</v>
      </c>
      <c r="Q7" s="10" t="s">
        <v>168</v>
      </c>
      <c r="R7" s="8">
        <f>F12+J12+N12</f>
        <v>26</v>
      </c>
    </row>
    <row r="8" spans="3:18" ht="17" x14ac:dyDescent="0.2">
      <c r="C8" s="9" t="s">
        <v>94</v>
      </c>
      <c r="D8" s="8"/>
      <c r="E8" s="8"/>
      <c r="F8" s="8"/>
      <c r="G8" s="8">
        <f t="shared" si="0"/>
        <v>0</v>
      </c>
      <c r="H8" s="8">
        <v>0</v>
      </c>
      <c r="I8" s="8">
        <v>0</v>
      </c>
      <c r="J8" s="8">
        <v>0</v>
      </c>
      <c r="K8" s="8">
        <f t="shared" si="1"/>
        <v>0</v>
      </c>
      <c r="L8" s="8">
        <v>0</v>
      </c>
      <c r="M8" s="8">
        <v>0</v>
      </c>
      <c r="N8" s="8">
        <v>0</v>
      </c>
      <c r="O8" s="8">
        <f t="shared" si="2"/>
        <v>0</v>
      </c>
      <c r="Q8" s="10" t="s">
        <v>169</v>
      </c>
      <c r="R8" s="8">
        <f>R5+(0.5*R6)</f>
        <v>85</v>
      </c>
    </row>
    <row r="9" spans="3:18" ht="15" x14ac:dyDescent="0.2">
      <c r="C9" s="13" t="s">
        <v>95</v>
      </c>
      <c r="D9" s="8"/>
      <c r="E9" s="8"/>
      <c r="F9" s="8"/>
      <c r="G9" s="8">
        <f t="shared" si="0"/>
        <v>0</v>
      </c>
      <c r="H9" s="8">
        <v>20</v>
      </c>
      <c r="I9" s="8">
        <v>2</v>
      </c>
      <c r="J9" s="8">
        <v>3</v>
      </c>
      <c r="K9" s="8">
        <f t="shared" si="1"/>
        <v>25</v>
      </c>
      <c r="L9" s="8">
        <v>1</v>
      </c>
      <c r="M9" s="8"/>
      <c r="N9" s="8"/>
      <c r="O9" s="8">
        <f t="shared" si="2"/>
        <v>1</v>
      </c>
      <c r="Q9" s="11" t="s">
        <v>157</v>
      </c>
      <c r="R9" s="12">
        <f>R8/R4</f>
        <v>0.7024793388429752</v>
      </c>
    </row>
    <row r="10" spans="3:18" ht="15" x14ac:dyDescent="0.2">
      <c r="C10" s="13" t="s">
        <v>84</v>
      </c>
      <c r="D10" s="8">
        <v>1</v>
      </c>
      <c r="E10" s="8"/>
      <c r="F10" s="8"/>
      <c r="G10" s="8">
        <f t="shared" ref="G10" si="3">D10+E10+F10</f>
        <v>1</v>
      </c>
      <c r="H10" s="8">
        <v>8</v>
      </c>
      <c r="I10" s="8">
        <v>3</v>
      </c>
      <c r="J10" s="8">
        <v>2</v>
      </c>
      <c r="K10" s="8">
        <f t="shared" ref="K10" si="4">H10+I10+J10</f>
        <v>13</v>
      </c>
      <c r="L10" s="8">
        <v>2</v>
      </c>
      <c r="M10" s="8"/>
      <c r="N10" s="8"/>
      <c r="O10" s="8">
        <f t="shared" ref="O10" si="5">L10+M10+N10</f>
        <v>2</v>
      </c>
    </row>
    <row r="11" spans="3:18" ht="15" x14ac:dyDescent="0.2">
      <c r="C11" s="81" t="s">
        <v>74</v>
      </c>
      <c r="D11" s="50"/>
      <c r="E11" s="50"/>
      <c r="F11" s="50"/>
      <c r="G11" s="50">
        <f t="shared" ref="G11" si="6">D11+E11+F11</f>
        <v>0</v>
      </c>
      <c r="H11" s="50">
        <v>18</v>
      </c>
      <c r="I11" s="50">
        <v>6</v>
      </c>
      <c r="J11" s="50">
        <v>4</v>
      </c>
      <c r="K11" s="50">
        <f>H11+I11+J11</f>
        <v>28</v>
      </c>
      <c r="L11" s="50">
        <v>0</v>
      </c>
      <c r="M11" s="50">
        <v>2</v>
      </c>
      <c r="N11" s="50">
        <v>1</v>
      </c>
      <c r="O11" s="50">
        <f t="shared" ref="O11" si="7">L11+M11+N11</f>
        <v>3</v>
      </c>
    </row>
    <row r="12" spans="3:18" x14ac:dyDescent="0.2">
      <c r="C12" s="82" t="s">
        <v>165</v>
      </c>
      <c r="D12" s="83">
        <f t="shared" ref="D12:O12" si="8">SUM(D4:D11)</f>
        <v>2</v>
      </c>
      <c r="E12" s="83">
        <f t="shared" si="8"/>
        <v>0</v>
      </c>
      <c r="F12" s="83">
        <f t="shared" si="8"/>
        <v>0</v>
      </c>
      <c r="G12" s="83">
        <f t="shared" si="8"/>
        <v>2</v>
      </c>
      <c r="H12" s="83">
        <f t="shared" si="8"/>
        <v>67</v>
      </c>
      <c r="I12" s="83">
        <f t="shared" si="8"/>
        <v>18</v>
      </c>
      <c r="J12" s="83">
        <f t="shared" si="8"/>
        <v>25</v>
      </c>
      <c r="K12" s="83">
        <f t="shared" si="8"/>
        <v>110</v>
      </c>
      <c r="L12" s="83">
        <f t="shared" si="8"/>
        <v>6</v>
      </c>
      <c r="M12" s="83">
        <f t="shared" si="8"/>
        <v>2</v>
      </c>
      <c r="N12" s="83">
        <f t="shared" si="8"/>
        <v>1</v>
      </c>
      <c r="O12" s="83">
        <f t="shared" si="8"/>
        <v>9</v>
      </c>
    </row>
    <row r="15" spans="3:18" ht="30" customHeight="1" x14ac:dyDescent="0.2">
      <c r="C15" s="176" t="s">
        <v>155</v>
      </c>
      <c r="D15" s="179" t="s">
        <v>151</v>
      </c>
      <c r="E15" s="179"/>
      <c r="F15" s="179"/>
      <c r="G15" s="179"/>
      <c r="H15" s="179" t="s">
        <v>152</v>
      </c>
      <c r="I15" s="179"/>
      <c r="J15" s="179"/>
      <c r="K15" s="179"/>
      <c r="L15" s="179" t="s">
        <v>153</v>
      </c>
      <c r="M15" s="179"/>
      <c r="N15" s="179"/>
      <c r="O15" s="179"/>
      <c r="Q15" s="10" t="s">
        <v>53</v>
      </c>
      <c r="R15" s="8">
        <f>G21+K21+O21</f>
        <v>32</v>
      </c>
    </row>
    <row r="16" spans="3:18" ht="30" customHeight="1" x14ac:dyDescent="0.2">
      <c r="C16" s="177"/>
      <c r="D16" s="45" t="s">
        <v>148</v>
      </c>
      <c r="E16" s="45" t="s">
        <v>149</v>
      </c>
      <c r="F16" s="45" t="s">
        <v>150</v>
      </c>
      <c r="G16" s="45" t="s">
        <v>55</v>
      </c>
      <c r="H16" s="45" t="s">
        <v>148</v>
      </c>
      <c r="I16" s="45" t="s">
        <v>149</v>
      </c>
      <c r="J16" s="45" t="s">
        <v>150</v>
      </c>
      <c r="K16" s="45" t="s">
        <v>55</v>
      </c>
      <c r="L16" s="45" t="s">
        <v>148</v>
      </c>
      <c r="M16" s="45" t="s">
        <v>149</v>
      </c>
      <c r="N16" s="45" t="s">
        <v>150</v>
      </c>
      <c r="O16" s="45" t="s">
        <v>55</v>
      </c>
      <c r="Q16" s="10" t="s">
        <v>148</v>
      </c>
      <c r="R16" s="8">
        <f>D21+H21+L21</f>
        <v>17</v>
      </c>
    </row>
    <row r="17" spans="3:18" ht="17" x14ac:dyDescent="0.2">
      <c r="C17" s="9" t="s">
        <v>61</v>
      </c>
      <c r="D17" s="8"/>
      <c r="E17" s="8"/>
      <c r="F17" s="8"/>
      <c r="G17" s="8">
        <f>D17+E17+F17</f>
        <v>0</v>
      </c>
      <c r="H17" s="8">
        <v>17</v>
      </c>
      <c r="I17" s="8">
        <v>3</v>
      </c>
      <c r="J17" s="8">
        <v>9</v>
      </c>
      <c r="K17" s="8">
        <f>H17+I17+J17</f>
        <v>29</v>
      </c>
      <c r="L17" s="8">
        <v>0</v>
      </c>
      <c r="M17" s="8">
        <v>2</v>
      </c>
      <c r="N17" s="8">
        <v>1</v>
      </c>
      <c r="O17" s="8">
        <f>L17+M17+N17</f>
        <v>3</v>
      </c>
      <c r="Q17" s="10" t="s">
        <v>167</v>
      </c>
      <c r="R17" s="8">
        <f>E21+I21+M21</f>
        <v>5</v>
      </c>
    </row>
    <row r="18" spans="3:18" ht="17" x14ac:dyDescent="0.2">
      <c r="C18" s="9"/>
      <c r="D18" s="8"/>
      <c r="E18" s="8"/>
      <c r="F18" s="8"/>
      <c r="G18" s="8">
        <f t="shared" ref="G18:G20" si="9">D18+E18+F18</f>
        <v>0</v>
      </c>
      <c r="H18" s="8"/>
      <c r="I18" s="8"/>
      <c r="J18" s="8"/>
      <c r="K18" s="8">
        <f t="shared" ref="K18:K20" si="10">H18+I18+J18</f>
        <v>0</v>
      </c>
      <c r="L18" s="8"/>
      <c r="M18" s="8"/>
      <c r="N18" s="8"/>
      <c r="O18" s="8">
        <f t="shared" ref="O18:O20" si="11">L18+M18+N18</f>
        <v>0</v>
      </c>
      <c r="Q18" s="10" t="s">
        <v>168</v>
      </c>
      <c r="R18" s="8">
        <f>F21+J21+N21</f>
        <v>10</v>
      </c>
    </row>
    <row r="19" spans="3:18" ht="17" x14ac:dyDescent="0.2">
      <c r="C19" s="9"/>
      <c r="D19" s="8"/>
      <c r="E19" s="8"/>
      <c r="F19" s="8"/>
      <c r="G19" s="8">
        <f t="shared" si="9"/>
        <v>0</v>
      </c>
      <c r="H19" s="8"/>
      <c r="I19" s="8"/>
      <c r="J19" s="8"/>
      <c r="K19" s="8">
        <f t="shared" si="10"/>
        <v>0</v>
      </c>
      <c r="L19" s="8"/>
      <c r="M19" s="8"/>
      <c r="N19" s="8"/>
      <c r="O19" s="8">
        <f t="shared" si="11"/>
        <v>0</v>
      </c>
      <c r="Q19" s="10" t="s">
        <v>169</v>
      </c>
      <c r="R19" s="8">
        <f t="shared" ref="R19" si="12">R16+(0.5*R17)</f>
        <v>19.5</v>
      </c>
    </row>
    <row r="20" spans="3:18" ht="15" x14ac:dyDescent="0.2">
      <c r="C20" s="49"/>
      <c r="D20" s="50"/>
      <c r="E20" s="50"/>
      <c r="F20" s="50"/>
      <c r="G20" s="50">
        <f t="shared" si="9"/>
        <v>0</v>
      </c>
      <c r="H20" s="50"/>
      <c r="I20" s="50"/>
      <c r="J20" s="50"/>
      <c r="K20" s="50">
        <f t="shared" si="10"/>
        <v>0</v>
      </c>
      <c r="L20" s="50"/>
      <c r="M20" s="50"/>
      <c r="N20" s="50"/>
      <c r="O20" s="50">
        <f t="shared" si="11"/>
        <v>0</v>
      </c>
      <c r="Q20" s="11" t="s">
        <v>157</v>
      </c>
      <c r="R20" s="12">
        <f t="shared" ref="R20" si="13">R19/R15</f>
        <v>0.609375</v>
      </c>
    </row>
    <row r="21" spans="3:18" x14ac:dyDescent="0.2">
      <c r="C21" s="75" t="s">
        <v>165</v>
      </c>
      <c r="D21" s="75">
        <f t="shared" ref="D21:O21" si="14">SUM(D17:D20)</f>
        <v>0</v>
      </c>
      <c r="E21" s="75">
        <f t="shared" si="14"/>
        <v>0</v>
      </c>
      <c r="F21" s="75">
        <f t="shared" si="14"/>
        <v>0</v>
      </c>
      <c r="G21" s="75">
        <f t="shared" si="14"/>
        <v>0</v>
      </c>
      <c r="H21" s="75">
        <f t="shared" si="14"/>
        <v>17</v>
      </c>
      <c r="I21" s="75">
        <f t="shared" si="14"/>
        <v>3</v>
      </c>
      <c r="J21" s="75">
        <f t="shared" si="14"/>
        <v>9</v>
      </c>
      <c r="K21" s="75">
        <f t="shared" si="14"/>
        <v>29</v>
      </c>
      <c r="L21" s="75">
        <f t="shared" si="14"/>
        <v>0</v>
      </c>
      <c r="M21" s="75">
        <f t="shared" si="14"/>
        <v>2</v>
      </c>
      <c r="N21" s="75">
        <f t="shared" si="14"/>
        <v>1</v>
      </c>
      <c r="O21" s="75">
        <f t="shared" si="14"/>
        <v>3</v>
      </c>
    </row>
    <row r="22" spans="3:18" ht="15" x14ac:dyDescent="0.2">
      <c r="C22" s="7"/>
    </row>
    <row r="26" spans="3:18" x14ac:dyDescent="0.2">
      <c r="C26" s="75" t="s">
        <v>161</v>
      </c>
      <c r="D26" s="80" t="s">
        <v>162</v>
      </c>
      <c r="E26" s="80" t="s">
        <v>163</v>
      </c>
      <c r="G26" s="180"/>
      <c r="H26" s="180"/>
    </row>
    <row r="27" spans="3:18" x14ac:dyDescent="0.2">
      <c r="C27" s="77" t="s">
        <v>158</v>
      </c>
      <c r="D27" s="77" t="s">
        <v>76</v>
      </c>
      <c r="E27" s="77">
        <v>1209912</v>
      </c>
    </row>
    <row r="28" spans="3:18" x14ac:dyDescent="0.2">
      <c r="C28" s="77" t="s">
        <v>159</v>
      </c>
      <c r="D28" s="77" t="s">
        <v>77</v>
      </c>
      <c r="E28" s="78">
        <v>992128</v>
      </c>
    </row>
    <row r="29" spans="3:18" x14ac:dyDescent="0.2">
      <c r="C29" s="77" t="s">
        <v>160</v>
      </c>
      <c r="D29" s="77" t="s">
        <v>78</v>
      </c>
      <c r="E29" s="79">
        <v>217784</v>
      </c>
    </row>
    <row r="30" spans="3:18" x14ac:dyDescent="0.2">
      <c r="C30" s="77" t="s">
        <v>164</v>
      </c>
      <c r="D30" s="77" t="s">
        <v>79</v>
      </c>
      <c r="E30" s="77">
        <v>2</v>
      </c>
    </row>
    <row r="31" spans="3:18" x14ac:dyDescent="0.2">
      <c r="C31" s="53" t="s">
        <v>166</v>
      </c>
      <c r="D31" s="53" t="s">
        <v>139</v>
      </c>
      <c r="E31" s="76">
        <f>SIGN(E28-E29)*LOG(ABS(E28-E29)+(E27/10),E30)</f>
        <v>19.772068381217892</v>
      </c>
    </row>
    <row r="34" ht="15" x14ac:dyDescent="0.2"/>
  </sheetData>
  <mergeCells count="9">
    <mergeCell ref="G26:H26"/>
    <mergeCell ref="D2:G2"/>
    <mergeCell ref="H2:K2"/>
    <mergeCell ref="L2:O2"/>
    <mergeCell ref="D15:G15"/>
    <mergeCell ref="H15:K15"/>
    <mergeCell ref="L15:O15"/>
    <mergeCell ref="C2:C3"/>
    <mergeCell ref="C15:C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04D0-C024-384E-8D80-6FB168CD88C0}">
  <sheetPr codeName="Sheet35"/>
  <dimension ref="B3:Q41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7.6640625" customWidth="1"/>
    <col min="8" max="8" width="14.33203125" customWidth="1"/>
    <col min="12" max="12" width="15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57</v>
      </c>
      <c r="C5" s="8"/>
      <c r="D5" s="8"/>
      <c r="E5" s="8"/>
      <c r="F5" s="8">
        <f>C5+D5+E5</f>
        <v>0</v>
      </c>
      <c r="G5" s="8">
        <v>11</v>
      </c>
      <c r="H5" s="8">
        <v>3</v>
      </c>
      <c r="I5" s="8">
        <v>6</v>
      </c>
      <c r="J5" s="8">
        <f>G5+H5+I5</f>
        <v>20</v>
      </c>
      <c r="K5" s="8">
        <v>1</v>
      </c>
      <c r="L5" s="8"/>
      <c r="M5" s="8"/>
      <c r="N5" s="8">
        <f>K5+L5+M5</f>
        <v>1</v>
      </c>
      <c r="P5" s="10" t="s">
        <v>50</v>
      </c>
      <c r="Q5" s="8">
        <f>F20+J20+N20</f>
        <v>376</v>
      </c>
    </row>
    <row r="6" spans="2:17" ht="17" x14ac:dyDescent="0.2">
      <c r="B6" s="9" t="s">
        <v>58</v>
      </c>
      <c r="C6" s="8">
        <v>2</v>
      </c>
      <c r="D6" s="8"/>
      <c r="E6" s="8">
        <v>1</v>
      </c>
      <c r="F6" s="8">
        <f t="shared" ref="F6:F19" si="0">C6+D6+E6</f>
        <v>3</v>
      </c>
      <c r="G6" s="8">
        <v>48</v>
      </c>
      <c r="H6" s="8">
        <v>15</v>
      </c>
      <c r="I6" s="8">
        <v>8</v>
      </c>
      <c r="J6" s="8">
        <f t="shared" ref="J6:J19" si="1">G6+H6+I6</f>
        <v>71</v>
      </c>
      <c r="K6" s="8">
        <v>4</v>
      </c>
      <c r="L6" s="8"/>
      <c r="M6" s="8">
        <v>1</v>
      </c>
      <c r="N6" s="8">
        <f t="shared" ref="N6:N19" si="2">K6+L6+M6</f>
        <v>5</v>
      </c>
      <c r="P6" s="10" t="s">
        <v>148</v>
      </c>
      <c r="Q6" s="8">
        <f>C20+G20+K20</f>
        <v>269</v>
      </c>
    </row>
    <row r="7" spans="2:17" ht="17" x14ac:dyDescent="0.2">
      <c r="B7" s="9" t="s">
        <v>59</v>
      </c>
      <c r="C7" s="8">
        <v>1</v>
      </c>
      <c r="D7" s="8"/>
      <c r="E7" s="8"/>
      <c r="F7" s="8">
        <f t="shared" si="0"/>
        <v>1</v>
      </c>
      <c r="G7" s="8">
        <v>52</v>
      </c>
      <c r="H7" s="8">
        <v>13</v>
      </c>
      <c r="I7" s="8">
        <v>7</v>
      </c>
      <c r="J7" s="8">
        <f t="shared" si="1"/>
        <v>72</v>
      </c>
      <c r="K7" s="8">
        <v>4</v>
      </c>
      <c r="L7" s="8"/>
      <c r="M7" s="8">
        <v>1</v>
      </c>
      <c r="N7" s="8">
        <f t="shared" si="2"/>
        <v>5</v>
      </c>
      <c r="P7" s="10" t="s">
        <v>167</v>
      </c>
      <c r="Q7" s="8">
        <f>D20+H20+L20</f>
        <v>63</v>
      </c>
    </row>
    <row r="8" spans="2:17" ht="17" x14ac:dyDescent="0.2">
      <c r="B8" s="9" t="s">
        <v>64</v>
      </c>
      <c r="C8" s="8">
        <v>2</v>
      </c>
      <c r="D8" s="8">
        <v>1</v>
      </c>
      <c r="E8" s="8"/>
      <c r="F8" s="8">
        <f t="shared" si="0"/>
        <v>3</v>
      </c>
      <c r="G8" s="8">
        <v>53</v>
      </c>
      <c r="H8" s="8">
        <v>13</v>
      </c>
      <c r="I8" s="8">
        <v>6</v>
      </c>
      <c r="J8" s="8">
        <f t="shared" si="1"/>
        <v>72</v>
      </c>
      <c r="K8" s="8">
        <v>4</v>
      </c>
      <c r="L8" s="8"/>
      <c r="M8" s="8">
        <v>1</v>
      </c>
      <c r="N8" s="8">
        <f t="shared" si="2"/>
        <v>5</v>
      </c>
      <c r="P8" s="10" t="s">
        <v>168</v>
      </c>
      <c r="Q8" s="8">
        <f>E20+I20+M20</f>
        <v>44</v>
      </c>
    </row>
    <row r="9" spans="2:17" ht="17" x14ac:dyDescent="0.2">
      <c r="B9" s="9" t="s">
        <v>86</v>
      </c>
      <c r="C9" s="8"/>
      <c r="D9" s="8"/>
      <c r="E9" s="8"/>
      <c r="F9" s="8">
        <f t="shared" si="0"/>
        <v>0</v>
      </c>
      <c r="G9" s="8">
        <v>9</v>
      </c>
      <c r="H9" s="8">
        <v>3</v>
      </c>
      <c r="I9" s="8">
        <v>5</v>
      </c>
      <c r="J9" s="8">
        <f t="shared" si="1"/>
        <v>17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300.5</v>
      </c>
    </row>
    <row r="10" spans="2:17" ht="15" x14ac:dyDescent="0.2">
      <c r="B10" s="9" t="s">
        <v>66</v>
      </c>
      <c r="C10" s="8"/>
      <c r="D10" s="8">
        <v>1</v>
      </c>
      <c r="E10" s="8"/>
      <c r="F10" s="8">
        <f t="shared" si="0"/>
        <v>1</v>
      </c>
      <c r="G10" s="8">
        <v>16</v>
      </c>
      <c r="H10" s="8">
        <v>2</v>
      </c>
      <c r="I10" s="8">
        <v>1</v>
      </c>
      <c r="J10" s="8">
        <f t="shared" si="1"/>
        <v>19</v>
      </c>
      <c r="K10" s="8">
        <v>1</v>
      </c>
      <c r="L10" s="8"/>
      <c r="M10" s="8"/>
      <c r="N10" s="8">
        <f t="shared" si="2"/>
        <v>1</v>
      </c>
      <c r="P10" s="11" t="s">
        <v>157</v>
      </c>
      <c r="Q10" s="12">
        <f>Q9/Q5</f>
        <v>0.79920212765957444</v>
      </c>
    </row>
    <row r="11" spans="2:17" ht="15" x14ac:dyDescent="0.2">
      <c r="B11" s="9" t="s">
        <v>67</v>
      </c>
      <c r="C11" s="8">
        <v>1</v>
      </c>
      <c r="D11" s="8"/>
      <c r="E11" s="8"/>
      <c r="F11" s="8">
        <f t="shared" si="0"/>
        <v>1</v>
      </c>
      <c r="G11" s="8">
        <v>43</v>
      </c>
      <c r="H11" s="8">
        <v>11</v>
      </c>
      <c r="I11" s="8">
        <v>6</v>
      </c>
      <c r="J11" s="8">
        <f t="shared" si="1"/>
        <v>60</v>
      </c>
      <c r="K11" s="8">
        <v>4</v>
      </c>
      <c r="L11" s="8"/>
      <c r="M11" s="8"/>
      <c r="N11" s="8">
        <f t="shared" si="2"/>
        <v>4</v>
      </c>
    </row>
    <row r="12" spans="2:17" ht="15" x14ac:dyDescent="0.2">
      <c r="B12" s="9" t="s">
        <v>69</v>
      </c>
      <c r="C12" s="8"/>
      <c r="D12" s="8">
        <v>1</v>
      </c>
      <c r="E12" s="8"/>
      <c r="F12" s="8">
        <f t="shared" si="0"/>
        <v>1</v>
      </c>
      <c r="G12" s="8">
        <v>11</v>
      </c>
      <c r="H12" s="8"/>
      <c r="I12" s="8">
        <v>1</v>
      </c>
      <c r="J12" s="8">
        <f t="shared" si="1"/>
        <v>12</v>
      </c>
      <c r="K12" s="8">
        <v>2</v>
      </c>
      <c r="L12" s="8"/>
      <c r="M12" s="8"/>
      <c r="N12" s="8">
        <f t="shared" si="2"/>
        <v>2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6</v>
      </c>
      <c r="D20" s="75">
        <f t="shared" si="3"/>
        <v>3</v>
      </c>
      <c r="E20" s="75">
        <f t="shared" si="3"/>
        <v>1</v>
      </c>
      <c r="F20" s="75">
        <f t="shared" si="3"/>
        <v>10</v>
      </c>
      <c r="G20" s="75">
        <f t="shared" si="3"/>
        <v>243</v>
      </c>
      <c r="H20" s="75">
        <f t="shared" si="3"/>
        <v>60</v>
      </c>
      <c r="I20" s="75">
        <f t="shared" si="3"/>
        <v>40</v>
      </c>
      <c r="J20" s="75">
        <f t="shared" si="3"/>
        <v>343</v>
      </c>
      <c r="K20" s="75">
        <f t="shared" si="3"/>
        <v>20</v>
      </c>
      <c r="L20" s="75">
        <f t="shared" si="3"/>
        <v>0</v>
      </c>
      <c r="M20" s="75">
        <f t="shared" si="3"/>
        <v>3</v>
      </c>
      <c r="N20" s="75">
        <f t="shared" si="3"/>
        <v>23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24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20</v>
      </c>
    </row>
    <row r="26" spans="2:17" ht="17" x14ac:dyDescent="0.2">
      <c r="B26" s="9" t="s">
        <v>95</v>
      </c>
      <c r="C26" s="8"/>
      <c r="D26" s="8"/>
      <c r="E26" s="8"/>
      <c r="F26" s="8">
        <f>C26+D26+E26</f>
        <v>0</v>
      </c>
      <c r="G26" s="8">
        <v>19</v>
      </c>
      <c r="H26" s="8">
        <v>3</v>
      </c>
      <c r="I26" s="8">
        <v>1</v>
      </c>
      <c r="J26" s="8">
        <f>G26+H26+I26</f>
        <v>23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3</v>
      </c>
    </row>
    <row r="27" spans="2:17" ht="17" x14ac:dyDescent="0.2">
      <c r="B27" s="9" t="s">
        <v>70</v>
      </c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21.5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0.89583333333333337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19</v>
      </c>
      <c r="H32" s="75">
        <f t="shared" si="9"/>
        <v>3</v>
      </c>
      <c r="I32" s="75">
        <f t="shared" si="9"/>
        <v>1</v>
      </c>
      <c r="J32" s="75">
        <f t="shared" si="9"/>
        <v>23</v>
      </c>
      <c r="K32" s="75">
        <f t="shared" si="9"/>
        <v>1</v>
      </c>
      <c r="L32" s="75">
        <f t="shared" si="9"/>
        <v>0</v>
      </c>
      <c r="M32" s="75">
        <f t="shared" si="9"/>
        <v>0</v>
      </c>
      <c r="N32" s="75">
        <f t="shared" si="9"/>
        <v>1</v>
      </c>
    </row>
    <row r="36" spans="2:7" x14ac:dyDescent="0.2">
      <c r="B36" s="75" t="s">
        <v>161</v>
      </c>
      <c r="C36" s="80" t="s">
        <v>162</v>
      </c>
      <c r="D36" s="80" t="s">
        <v>163</v>
      </c>
    </row>
    <row r="37" spans="2:7" x14ac:dyDescent="0.2">
      <c r="B37" s="77" t="s">
        <v>158</v>
      </c>
      <c r="C37" s="77" t="s">
        <v>76</v>
      </c>
      <c r="D37" s="77">
        <v>38861</v>
      </c>
    </row>
    <row r="38" spans="2:7" x14ac:dyDescent="0.2">
      <c r="B38" s="77" t="s">
        <v>159</v>
      </c>
      <c r="C38" s="77" t="s">
        <v>77</v>
      </c>
      <c r="D38" s="78">
        <v>37695</v>
      </c>
    </row>
    <row r="39" spans="2:7" x14ac:dyDescent="0.2">
      <c r="B39" s="77" t="s">
        <v>160</v>
      </c>
      <c r="C39" s="77" t="s">
        <v>78</v>
      </c>
      <c r="D39" s="79">
        <v>1166</v>
      </c>
      <c r="F39" s="180"/>
      <c r="G39" s="180"/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15.302606796907259</v>
      </c>
    </row>
  </sheetData>
  <mergeCells count="9">
    <mergeCell ref="F39:G39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9E70-6CF3-1D49-A264-633E55886BCD}">
  <sheetPr codeName="Sheet34"/>
  <dimension ref="B3:Q45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5" customWidth="1"/>
    <col min="8" max="8" width="15.6640625" customWidth="1"/>
    <col min="12" max="12" width="14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92</v>
      </c>
      <c r="C5" s="8">
        <v>2</v>
      </c>
      <c r="D5" s="8">
        <v>1</v>
      </c>
      <c r="E5" s="8"/>
      <c r="F5" s="8">
        <f>C5+D5+E5</f>
        <v>3</v>
      </c>
      <c r="G5" s="8">
        <v>15</v>
      </c>
      <c r="H5" s="8">
        <v>2</v>
      </c>
      <c r="I5" s="8">
        <v>10</v>
      </c>
      <c r="J5" s="8">
        <f>G5+H5+I5</f>
        <v>27</v>
      </c>
      <c r="K5" s="8">
        <v>1</v>
      </c>
      <c r="L5" s="8"/>
      <c r="M5" s="8"/>
      <c r="N5" s="8">
        <f>K5+L5+M5</f>
        <v>1</v>
      </c>
      <c r="P5" s="10" t="s">
        <v>50</v>
      </c>
      <c r="Q5" s="8">
        <f>F20+J20+N20</f>
        <v>355</v>
      </c>
    </row>
    <row r="6" spans="2:17" ht="17" x14ac:dyDescent="0.2">
      <c r="B6" s="9" t="s">
        <v>56</v>
      </c>
      <c r="C6" s="8">
        <v>2</v>
      </c>
      <c r="D6" s="8"/>
      <c r="E6" s="8"/>
      <c r="F6" s="8">
        <f t="shared" ref="F6:F19" si="0">C6+D6+E6</f>
        <v>2</v>
      </c>
      <c r="G6" s="8">
        <v>36</v>
      </c>
      <c r="H6" s="8">
        <v>8</v>
      </c>
      <c r="I6" s="8">
        <v>7</v>
      </c>
      <c r="J6" s="8">
        <f t="shared" ref="J6:J19" si="1">G6+H6+I6</f>
        <v>51</v>
      </c>
      <c r="K6" s="8">
        <v>2</v>
      </c>
      <c r="L6" s="8">
        <v>1</v>
      </c>
      <c r="M6" s="8">
        <v>1</v>
      </c>
      <c r="N6" s="8">
        <f t="shared" ref="N6:N19" si="2">K6+L6+M6</f>
        <v>4</v>
      </c>
      <c r="P6" s="10" t="s">
        <v>148</v>
      </c>
      <c r="Q6" s="8">
        <f>C20+G20+K20</f>
        <v>256</v>
      </c>
    </row>
    <row r="7" spans="2:17" ht="17" x14ac:dyDescent="0.2">
      <c r="B7" s="9" t="s">
        <v>61</v>
      </c>
      <c r="C7" s="8">
        <v>1</v>
      </c>
      <c r="D7" s="8"/>
      <c r="E7" s="8"/>
      <c r="F7" s="8">
        <f t="shared" si="0"/>
        <v>1</v>
      </c>
      <c r="G7" s="8">
        <v>27</v>
      </c>
      <c r="H7" s="8"/>
      <c r="I7" s="8">
        <v>2</v>
      </c>
      <c r="J7" s="8">
        <f t="shared" si="1"/>
        <v>29</v>
      </c>
      <c r="K7" s="8">
        <v>4</v>
      </c>
      <c r="L7" s="8"/>
      <c r="M7" s="8"/>
      <c r="N7" s="8">
        <f t="shared" si="2"/>
        <v>4</v>
      </c>
      <c r="P7" s="10" t="s">
        <v>167</v>
      </c>
      <c r="Q7" s="8">
        <f>D20+H20+L20</f>
        <v>52</v>
      </c>
    </row>
    <row r="8" spans="2:17" ht="17" x14ac:dyDescent="0.2">
      <c r="B8" s="9" t="s">
        <v>62</v>
      </c>
      <c r="C8" s="8">
        <v>1</v>
      </c>
      <c r="D8" s="8"/>
      <c r="E8" s="8">
        <v>1</v>
      </c>
      <c r="F8" s="8">
        <f t="shared" si="0"/>
        <v>2</v>
      </c>
      <c r="G8" s="8">
        <v>16</v>
      </c>
      <c r="H8" s="8">
        <v>4</v>
      </c>
      <c r="I8" s="8">
        <v>3</v>
      </c>
      <c r="J8" s="8">
        <f t="shared" si="1"/>
        <v>23</v>
      </c>
      <c r="K8" s="8">
        <v>1</v>
      </c>
      <c r="L8" s="8">
        <v>1</v>
      </c>
      <c r="M8" s="8"/>
      <c r="N8" s="8">
        <f t="shared" si="2"/>
        <v>2</v>
      </c>
      <c r="P8" s="10" t="s">
        <v>168</v>
      </c>
      <c r="Q8" s="8">
        <f>E20+I20+M20</f>
        <v>51</v>
      </c>
    </row>
    <row r="9" spans="2:17" ht="17" x14ac:dyDescent="0.2">
      <c r="B9" s="9" t="s">
        <v>96</v>
      </c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282</v>
      </c>
    </row>
    <row r="10" spans="2:17" ht="15" x14ac:dyDescent="0.2">
      <c r="B10" s="9" t="s">
        <v>80</v>
      </c>
      <c r="C10" s="8"/>
      <c r="D10" s="8">
        <v>2</v>
      </c>
      <c r="E10" s="8"/>
      <c r="F10" s="8">
        <f t="shared" si="0"/>
        <v>2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0.79436619718309864</v>
      </c>
    </row>
    <row r="11" spans="2:17" ht="15" x14ac:dyDescent="0.2">
      <c r="B11" s="9" t="s">
        <v>87</v>
      </c>
      <c r="C11" s="8">
        <v>3</v>
      </c>
      <c r="D11" s="8"/>
      <c r="E11" s="8"/>
      <c r="F11" s="8">
        <f t="shared" si="0"/>
        <v>3</v>
      </c>
      <c r="G11" s="8">
        <v>20</v>
      </c>
      <c r="H11" s="8">
        <v>4</v>
      </c>
      <c r="I11" s="8">
        <v>5</v>
      </c>
      <c r="J11" s="8">
        <f t="shared" si="1"/>
        <v>29</v>
      </c>
      <c r="K11" s="8">
        <v>1</v>
      </c>
      <c r="L11" s="8"/>
      <c r="M11" s="8"/>
      <c r="N11" s="8">
        <f t="shared" si="2"/>
        <v>1</v>
      </c>
    </row>
    <row r="12" spans="2:17" ht="15" x14ac:dyDescent="0.2">
      <c r="B12" s="9" t="s">
        <v>90</v>
      </c>
      <c r="C12" s="8">
        <v>1</v>
      </c>
      <c r="D12" s="8"/>
      <c r="E12" s="8"/>
      <c r="F12" s="8">
        <f t="shared" si="0"/>
        <v>1</v>
      </c>
      <c r="G12" s="8">
        <v>4</v>
      </c>
      <c r="H12" s="8">
        <v>2</v>
      </c>
      <c r="I12" s="8"/>
      <c r="J12" s="8">
        <f t="shared" si="1"/>
        <v>6</v>
      </c>
      <c r="K12" s="8">
        <v>1</v>
      </c>
      <c r="L12" s="8"/>
      <c r="M12" s="8"/>
      <c r="N12" s="8">
        <f t="shared" si="2"/>
        <v>1</v>
      </c>
    </row>
    <row r="13" spans="2:17" ht="15" x14ac:dyDescent="0.2">
      <c r="B13" s="9" t="s">
        <v>97</v>
      </c>
      <c r="C13" s="8">
        <v>1</v>
      </c>
      <c r="D13" s="8"/>
      <c r="E13" s="8"/>
      <c r="F13" s="8">
        <f t="shared" si="0"/>
        <v>1</v>
      </c>
      <c r="G13" s="8"/>
      <c r="H13" s="8"/>
      <c r="I13" s="8">
        <v>3</v>
      </c>
      <c r="J13" s="8">
        <f t="shared" si="1"/>
        <v>3</v>
      </c>
      <c r="K13" s="8">
        <v>1</v>
      </c>
      <c r="L13" s="8"/>
      <c r="M13" s="8"/>
      <c r="N13" s="8">
        <f t="shared" si="2"/>
        <v>1</v>
      </c>
    </row>
    <row r="14" spans="2:17" ht="15" x14ac:dyDescent="0.2">
      <c r="B14" s="9" t="s">
        <v>93</v>
      </c>
      <c r="C14" s="8">
        <v>1</v>
      </c>
      <c r="D14" s="8">
        <v>1</v>
      </c>
      <c r="E14" s="8"/>
      <c r="F14" s="8">
        <f t="shared" si="0"/>
        <v>2</v>
      </c>
      <c r="G14" s="8">
        <v>10</v>
      </c>
      <c r="H14" s="8">
        <v>2</v>
      </c>
      <c r="I14" s="8">
        <v>1</v>
      </c>
      <c r="J14" s="8">
        <f t="shared" si="1"/>
        <v>13</v>
      </c>
      <c r="K14" s="8">
        <v>2</v>
      </c>
      <c r="L14" s="8">
        <v>1</v>
      </c>
      <c r="M14" s="8"/>
      <c r="N14" s="8">
        <f t="shared" si="2"/>
        <v>3</v>
      </c>
    </row>
    <row r="15" spans="2:17" ht="15" x14ac:dyDescent="0.2">
      <c r="B15" s="9" t="s">
        <v>84</v>
      </c>
      <c r="C15" s="8">
        <v>1</v>
      </c>
      <c r="D15" s="8">
        <v>2</v>
      </c>
      <c r="E15" s="8"/>
      <c r="F15" s="8">
        <f t="shared" si="0"/>
        <v>3</v>
      </c>
      <c r="G15" s="8">
        <v>8</v>
      </c>
      <c r="H15" s="8">
        <v>1</v>
      </c>
      <c r="I15" s="8">
        <v>1</v>
      </c>
      <c r="J15" s="8">
        <f t="shared" si="1"/>
        <v>10</v>
      </c>
      <c r="K15" s="8">
        <v>2</v>
      </c>
      <c r="L15" s="8"/>
      <c r="M15" s="8"/>
      <c r="N15" s="8">
        <f t="shared" si="2"/>
        <v>2</v>
      </c>
    </row>
    <row r="16" spans="2:17" ht="15" x14ac:dyDescent="0.2">
      <c r="B16" s="9" t="s">
        <v>98</v>
      </c>
      <c r="C16" s="8"/>
      <c r="D16" s="8"/>
      <c r="E16" s="8">
        <v>1</v>
      </c>
      <c r="F16" s="8"/>
      <c r="G16" s="8">
        <v>10</v>
      </c>
      <c r="H16" s="8">
        <v>5</v>
      </c>
      <c r="I16" s="8">
        <v>2</v>
      </c>
      <c r="J16" s="8">
        <f t="shared" si="1"/>
        <v>17</v>
      </c>
      <c r="K16" s="8">
        <v>2</v>
      </c>
      <c r="L16" s="8">
        <v>1</v>
      </c>
      <c r="M16" s="8"/>
      <c r="N16" s="8"/>
    </row>
    <row r="17" spans="2:17" ht="15" x14ac:dyDescent="0.2">
      <c r="B17" s="9" t="s">
        <v>75</v>
      </c>
      <c r="C17" s="8">
        <v>2</v>
      </c>
      <c r="D17" s="8"/>
      <c r="E17" s="8"/>
      <c r="F17" s="8">
        <f t="shared" si="0"/>
        <v>2</v>
      </c>
      <c r="G17" s="8">
        <v>22</v>
      </c>
      <c r="H17" s="8">
        <v>6</v>
      </c>
      <c r="I17" s="8">
        <v>5</v>
      </c>
      <c r="J17" s="8">
        <f t="shared" si="1"/>
        <v>33</v>
      </c>
      <c r="K17" s="8">
        <v>1</v>
      </c>
      <c r="L17" s="8"/>
      <c r="M17" s="8">
        <v>2</v>
      </c>
      <c r="N17" s="8">
        <f t="shared" si="2"/>
        <v>3</v>
      </c>
    </row>
    <row r="18" spans="2:17" ht="15" x14ac:dyDescent="0.2">
      <c r="B18" s="9" t="s">
        <v>99</v>
      </c>
      <c r="C18" s="8">
        <v>1</v>
      </c>
      <c r="D18" s="8"/>
      <c r="E18" s="8"/>
      <c r="F18" s="8">
        <f t="shared" si="0"/>
        <v>1</v>
      </c>
      <c r="G18" s="8">
        <v>21</v>
      </c>
      <c r="H18" s="8">
        <v>8</v>
      </c>
      <c r="I18" s="8">
        <v>5</v>
      </c>
      <c r="J18" s="8">
        <f t="shared" si="1"/>
        <v>34</v>
      </c>
      <c r="K18" s="8">
        <v>1</v>
      </c>
      <c r="L18" s="8"/>
      <c r="M18" s="8"/>
      <c r="N18" s="8">
        <f t="shared" si="2"/>
        <v>1</v>
      </c>
    </row>
    <row r="19" spans="2:17" ht="15" x14ac:dyDescent="0.2">
      <c r="B19" s="49" t="s">
        <v>74</v>
      </c>
      <c r="C19" s="50">
        <v>1</v>
      </c>
      <c r="D19" s="50"/>
      <c r="E19" s="50"/>
      <c r="F19" s="50">
        <f t="shared" si="0"/>
        <v>1</v>
      </c>
      <c r="G19" s="50">
        <v>27</v>
      </c>
      <c r="H19" s="50"/>
      <c r="I19" s="50">
        <v>2</v>
      </c>
      <c r="J19" s="50">
        <f t="shared" si="1"/>
        <v>29</v>
      </c>
      <c r="K19" s="50">
        <v>4</v>
      </c>
      <c r="L19" s="50"/>
      <c r="M19" s="50"/>
      <c r="N19" s="50">
        <f t="shared" si="2"/>
        <v>4</v>
      </c>
    </row>
    <row r="20" spans="2:17" x14ac:dyDescent="0.2">
      <c r="B20" s="75" t="s">
        <v>165</v>
      </c>
      <c r="C20" s="75">
        <f t="shared" ref="C20:N20" si="3">SUM(C5:C19)</f>
        <v>17</v>
      </c>
      <c r="D20" s="75">
        <f t="shared" si="3"/>
        <v>6</v>
      </c>
      <c r="E20" s="75">
        <f t="shared" si="3"/>
        <v>2</v>
      </c>
      <c r="F20" s="75">
        <f t="shared" si="3"/>
        <v>24</v>
      </c>
      <c r="G20" s="75">
        <f t="shared" si="3"/>
        <v>216</v>
      </c>
      <c r="H20" s="75">
        <f t="shared" si="3"/>
        <v>42</v>
      </c>
      <c r="I20" s="75">
        <f t="shared" si="3"/>
        <v>46</v>
      </c>
      <c r="J20" s="75">
        <f t="shared" si="3"/>
        <v>304</v>
      </c>
      <c r="K20" s="75">
        <f t="shared" si="3"/>
        <v>23</v>
      </c>
      <c r="L20" s="75">
        <f t="shared" si="3"/>
        <v>4</v>
      </c>
      <c r="M20" s="75">
        <f t="shared" si="3"/>
        <v>3</v>
      </c>
      <c r="N20" s="75">
        <f t="shared" si="3"/>
        <v>27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10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7</v>
      </c>
    </row>
    <row r="26" spans="2:17" ht="17" x14ac:dyDescent="0.2">
      <c r="B26" s="9" t="s">
        <v>100</v>
      </c>
      <c r="C26" s="8"/>
      <c r="D26" s="8">
        <v>1</v>
      </c>
      <c r="E26" s="8"/>
      <c r="F26" s="8">
        <f>C26+D26+E26</f>
        <v>1</v>
      </c>
      <c r="G26" s="8">
        <v>6</v>
      </c>
      <c r="H26" s="8"/>
      <c r="I26" s="8">
        <v>2</v>
      </c>
      <c r="J26" s="8">
        <f>G26+H26+I26</f>
        <v>8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1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2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7.5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0.75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1</v>
      </c>
      <c r="E32" s="75">
        <f t="shared" si="9"/>
        <v>0</v>
      </c>
      <c r="F32" s="75">
        <f t="shared" si="9"/>
        <v>1</v>
      </c>
      <c r="G32" s="75">
        <f t="shared" si="9"/>
        <v>6</v>
      </c>
      <c r="H32" s="75">
        <f t="shared" si="9"/>
        <v>0</v>
      </c>
      <c r="I32" s="75">
        <f t="shared" si="9"/>
        <v>2</v>
      </c>
      <c r="J32" s="75">
        <f t="shared" si="9"/>
        <v>8</v>
      </c>
      <c r="K32" s="75">
        <f t="shared" si="9"/>
        <v>1</v>
      </c>
      <c r="L32" s="75">
        <f t="shared" si="9"/>
        <v>0</v>
      </c>
      <c r="M32" s="75">
        <f t="shared" si="9"/>
        <v>0</v>
      </c>
      <c r="N32" s="75">
        <f t="shared" si="9"/>
        <v>1</v>
      </c>
    </row>
    <row r="36" spans="2:7" x14ac:dyDescent="0.2">
      <c r="B36" s="75" t="s">
        <v>161</v>
      </c>
      <c r="C36" s="80" t="s">
        <v>162</v>
      </c>
      <c r="D36" s="80" t="s">
        <v>163</v>
      </c>
    </row>
    <row r="37" spans="2:7" x14ac:dyDescent="0.2">
      <c r="B37" s="77" t="s">
        <v>158</v>
      </c>
      <c r="C37" s="77" t="s">
        <v>76</v>
      </c>
      <c r="D37" s="77">
        <v>116667</v>
      </c>
      <c r="F37" s="180"/>
      <c r="G37" s="180"/>
    </row>
    <row r="38" spans="2:7" x14ac:dyDescent="0.2">
      <c r="B38" s="77" t="s">
        <v>159</v>
      </c>
      <c r="C38" s="77" t="s">
        <v>77</v>
      </c>
      <c r="D38" s="78">
        <v>110834</v>
      </c>
    </row>
    <row r="39" spans="2:7" x14ac:dyDescent="0.2">
      <c r="B39" s="77" t="s">
        <v>160</v>
      </c>
      <c r="C39" s="77" t="s">
        <v>78</v>
      </c>
      <c r="D39" s="79">
        <v>5833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16.832045673872749</v>
      </c>
    </row>
    <row r="44" spans="2:7" ht="15" x14ac:dyDescent="0.2"/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0C32-063F-9D41-942B-FE37942A30A2}">
  <sheetPr codeName="Sheet9"/>
  <dimension ref="B3:Q44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5" customWidth="1"/>
    <col min="8" max="8" width="15" customWidth="1"/>
    <col min="12" max="12" width="14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93</v>
      </c>
      <c r="C5" s="8"/>
      <c r="D5" s="8"/>
      <c r="E5" s="8"/>
      <c r="F5" s="8">
        <f>C5+D5+E5</f>
        <v>0</v>
      </c>
      <c r="G5" s="8">
        <v>12</v>
      </c>
      <c r="H5" s="8">
        <v>1</v>
      </c>
      <c r="I5" s="8">
        <v>2</v>
      </c>
      <c r="J5" s="8">
        <f>G5+H5+I5</f>
        <v>15</v>
      </c>
      <c r="K5" s="8">
        <v>3</v>
      </c>
      <c r="L5" s="8"/>
      <c r="M5" s="8"/>
      <c r="N5" s="8">
        <f>K5+L5+M5</f>
        <v>3</v>
      </c>
      <c r="P5" s="10" t="s">
        <v>50</v>
      </c>
      <c r="Q5" s="8">
        <f>F20+J20+N20</f>
        <v>194</v>
      </c>
    </row>
    <row r="6" spans="2:17" ht="17" x14ac:dyDescent="0.2">
      <c r="B6" s="9" t="s">
        <v>59</v>
      </c>
      <c r="C6" s="8"/>
      <c r="D6" s="8"/>
      <c r="E6" s="8"/>
      <c r="F6" s="8">
        <f t="shared" ref="F6:F19" si="0">C6+D6+E6</f>
        <v>0</v>
      </c>
      <c r="G6" s="8">
        <v>28</v>
      </c>
      <c r="H6" s="8">
        <v>7</v>
      </c>
      <c r="I6" s="8">
        <v>10</v>
      </c>
      <c r="J6" s="8">
        <f t="shared" ref="J6:J19" si="1">G6+H6+I6</f>
        <v>45</v>
      </c>
      <c r="K6" s="8">
        <v>2</v>
      </c>
      <c r="L6" s="8">
        <v>1</v>
      </c>
      <c r="M6" s="8">
        <v>1</v>
      </c>
      <c r="N6" s="8">
        <f t="shared" ref="N6:N19" si="2">K6+L6+M6</f>
        <v>4</v>
      </c>
      <c r="P6" s="10" t="s">
        <v>148</v>
      </c>
      <c r="Q6" s="8">
        <f>C20+G20+K20</f>
        <v>115</v>
      </c>
    </row>
    <row r="7" spans="2:17" ht="17" x14ac:dyDescent="0.2">
      <c r="B7" s="9" t="s">
        <v>66</v>
      </c>
      <c r="C7" s="8"/>
      <c r="D7" s="8"/>
      <c r="E7" s="8"/>
      <c r="F7" s="8">
        <f t="shared" si="0"/>
        <v>0</v>
      </c>
      <c r="G7" s="8">
        <v>8</v>
      </c>
      <c r="H7" s="8">
        <v>2</v>
      </c>
      <c r="I7" s="8">
        <v>5</v>
      </c>
      <c r="J7" s="8">
        <f t="shared" si="1"/>
        <v>15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23</v>
      </c>
    </row>
    <row r="8" spans="2:17" ht="17" x14ac:dyDescent="0.2">
      <c r="B8" s="9" t="s">
        <v>80</v>
      </c>
      <c r="C8" s="8"/>
      <c r="D8" s="8"/>
      <c r="E8" s="8"/>
      <c r="F8" s="8">
        <f t="shared" si="0"/>
        <v>0</v>
      </c>
      <c r="G8" s="8"/>
      <c r="H8" s="8"/>
      <c r="I8" s="8"/>
      <c r="J8" s="8">
        <f t="shared" si="1"/>
        <v>0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56</v>
      </c>
    </row>
    <row r="9" spans="2:17" ht="17" x14ac:dyDescent="0.2">
      <c r="B9" s="9" t="s">
        <v>91</v>
      </c>
      <c r="C9" s="8"/>
      <c r="D9" s="8"/>
      <c r="E9" s="8"/>
      <c r="F9" s="8">
        <f t="shared" si="0"/>
        <v>0</v>
      </c>
      <c r="G9" s="8">
        <v>9</v>
      </c>
      <c r="H9" s="8">
        <v>5</v>
      </c>
      <c r="I9" s="8">
        <v>3</v>
      </c>
      <c r="J9" s="8">
        <f t="shared" si="1"/>
        <v>17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126.5</v>
      </c>
    </row>
    <row r="10" spans="2:17" ht="15" x14ac:dyDescent="0.2">
      <c r="B10" s="9" t="s">
        <v>101</v>
      </c>
      <c r="C10" s="8"/>
      <c r="D10" s="8"/>
      <c r="E10" s="8"/>
      <c r="F10" s="8">
        <f t="shared" si="0"/>
        <v>0</v>
      </c>
      <c r="G10" s="8">
        <v>5</v>
      </c>
      <c r="H10" s="8"/>
      <c r="I10" s="8">
        <v>4</v>
      </c>
      <c r="J10" s="8">
        <f t="shared" si="1"/>
        <v>9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0.65206185567010311</v>
      </c>
    </row>
    <row r="11" spans="2:17" ht="15" x14ac:dyDescent="0.2">
      <c r="B11" s="9" t="s">
        <v>62</v>
      </c>
      <c r="C11" s="8"/>
      <c r="D11" s="8"/>
      <c r="E11" s="8"/>
      <c r="F11" s="8">
        <f t="shared" si="0"/>
        <v>0</v>
      </c>
      <c r="G11" s="8">
        <v>9</v>
      </c>
      <c r="H11" s="8">
        <v>3</v>
      </c>
      <c r="I11" s="8">
        <v>10</v>
      </c>
      <c r="J11" s="8">
        <f t="shared" si="1"/>
        <v>22</v>
      </c>
      <c r="K11" s="8">
        <v>1</v>
      </c>
      <c r="L11" s="8"/>
      <c r="M11" s="8"/>
      <c r="N11" s="8">
        <f t="shared" si="2"/>
        <v>1</v>
      </c>
    </row>
    <row r="12" spans="2:17" ht="15" x14ac:dyDescent="0.2">
      <c r="B12" s="9" t="s">
        <v>98</v>
      </c>
      <c r="C12" s="8"/>
      <c r="D12" s="8"/>
      <c r="E12" s="8"/>
      <c r="F12" s="8">
        <f t="shared" si="0"/>
        <v>0</v>
      </c>
      <c r="G12" s="8">
        <v>10</v>
      </c>
      <c r="H12" s="8">
        <v>2</v>
      </c>
      <c r="I12" s="8">
        <v>5</v>
      </c>
      <c r="J12" s="8">
        <f t="shared" si="1"/>
        <v>17</v>
      </c>
      <c r="K12" s="8">
        <v>2</v>
      </c>
      <c r="L12" s="8"/>
      <c r="M12" s="8">
        <v>1</v>
      </c>
      <c r="N12" s="8">
        <f t="shared" si="2"/>
        <v>3</v>
      </c>
    </row>
    <row r="13" spans="2:17" ht="15" x14ac:dyDescent="0.2">
      <c r="B13" s="9" t="s">
        <v>68</v>
      </c>
      <c r="C13" s="8"/>
      <c r="D13" s="8"/>
      <c r="E13" s="8"/>
      <c r="F13" s="8">
        <f t="shared" si="0"/>
        <v>0</v>
      </c>
      <c r="G13" s="8">
        <v>9</v>
      </c>
      <c r="H13" s="8"/>
      <c r="I13" s="8">
        <v>2</v>
      </c>
      <c r="J13" s="8">
        <f t="shared" si="1"/>
        <v>11</v>
      </c>
      <c r="K13" s="8">
        <v>1</v>
      </c>
      <c r="L13" s="8"/>
      <c r="M13" s="8"/>
      <c r="N13" s="8">
        <f t="shared" si="2"/>
        <v>1</v>
      </c>
    </row>
    <row r="14" spans="2:17" ht="15" x14ac:dyDescent="0.2">
      <c r="B14" s="9" t="s">
        <v>95</v>
      </c>
      <c r="C14" s="8"/>
      <c r="D14" s="8"/>
      <c r="E14" s="8"/>
      <c r="F14" s="8">
        <f t="shared" si="0"/>
        <v>0</v>
      </c>
      <c r="G14" s="8">
        <v>11</v>
      </c>
      <c r="H14" s="8">
        <v>2</v>
      </c>
      <c r="I14" s="8">
        <v>8</v>
      </c>
      <c r="J14" s="8">
        <f t="shared" si="1"/>
        <v>21</v>
      </c>
      <c r="K14" s="8">
        <v>1</v>
      </c>
      <c r="L14" s="8"/>
      <c r="M14" s="8"/>
      <c r="N14" s="8">
        <f t="shared" si="2"/>
        <v>1</v>
      </c>
    </row>
    <row r="15" spans="2:17" ht="15" x14ac:dyDescent="0.2">
      <c r="B15" s="9" t="s">
        <v>60</v>
      </c>
      <c r="C15" s="8"/>
      <c r="D15" s="8"/>
      <c r="E15" s="8"/>
      <c r="F15" s="8">
        <f t="shared" si="0"/>
        <v>0</v>
      </c>
      <c r="G15" s="8">
        <v>4</v>
      </c>
      <c r="H15" s="8"/>
      <c r="I15" s="8">
        <v>5</v>
      </c>
      <c r="J15" s="8">
        <f t="shared" si="1"/>
        <v>9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105</v>
      </c>
      <c r="H20" s="75">
        <f t="shared" si="3"/>
        <v>22</v>
      </c>
      <c r="I20" s="75">
        <f t="shared" si="3"/>
        <v>54</v>
      </c>
      <c r="J20" s="75">
        <f t="shared" si="3"/>
        <v>181</v>
      </c>
      <c r="K20" s="75">
        <f t="shared" si="3"/>
        <v>10</v>
      </c>
      <c r="L20" s="75">
        <f t="shared" si="3"/>
        <v>1</v>
      </c>
      <c r="M20" s="75">
        <f t="shared" si="3"/>
        <v>2</v>
      </c>
      <c r="N20" s="75">
        <f t="shared" si="3"/>
        <v>13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82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62</v>
      </c>
    </row>
    <row r="26" spans="2:17" ht="17" x14ac:dyDescent="0.2">
      <c r="B26" s="9" t="s">
        <v>74</v>
      </c>
      <c r="C26" s="8"/>
      <c r="D26" s="8"/>
      <c r="E26" s="8"/>
      <c r="F26" s="8">
        <f>C26+D26+E26</f>
        <v>0</v>
      </c>
      <c r="G26" s="8">
        <v>24</v>
      </c>
      <c r="H26" s="8">
        <v>1</v>
      </c>
      <c r="I26" s="8">
        <v>4</v>
      </c>
      <c r="J26" s="8">
        <f>G26+H26+I26</f>
        <v>29</v>
      </c>
      <c r="K26" s="8">
        <v>4</v>
      </c>
      <c r="L26" s="8"/>
      <c r="M26" s="8"/>
      <c r="N26" s="8">
        <f>K26+L26+M26</f>
        <v>4</v>
      </c>
      <c r="P26" s="10" t="s">
        <v>167</v>
      </c>
      <c r="Q26" s="8">
        <f>D32+H32+L32</f>
        <v>8</v>
      </c>
    </row>
    <row r="27" spans="2:17" ht="17" x14ac:dyDescent="0.2">
      <c r="B27" s="9" t="s">
        <v>100</v>
      </c>
      <c r="C27" s="8"/>
      <c r="D27" s="8"/>
      <c r="E27" s="8"/>
      <c r="F27" s="8">
        <f t="shared" ref="F27:F31" si="4">C27+D27+E27</f>
        <v>0</v>
      </c>
      <c r="G27" s="8">
        <v>6</v>
      </c>
      <c r="H27" s="8">
        <v>1</v>
      </c>
      <c r="I27" s="8"/>
      <c r="J27" s="8">
        <f t="shared" ref="J27:J31" si="5">G27+H27+I27</f>
        <v>7</v>
      </c>
      <c r="K27" s="8">
        <v>2</v>
      </c>
      <c r="L27" s="8"/>
      <c r="M27" s="8"/>
      <c r="N27" s="8">
        <f t="shared" ref="N27:N31" si="6">K27+L27+M27</f>
        <v>2</v>
      </c>
      <c r="P27" s="10" t="s">
        <v>168</v>
      </c>
      <c r="Q27" s="8">
        <f>E32+I32+M32</f>
        <v>12</v>
      </c>
    </row>
    <row r="28" spans="2:17" ht="17" x14ac:dyDescent="0.2">
      <c r="B28" s="9" t="s">
        <v>102</v>
      </c>
      <c r="C28" s="8"/>
      <c r="D28" s="8"/>
      <c r="E28" s="8"/>
      <c r="F28" s="8">
        <f t="shared" si="4"/>
        <v>0</v>
      </c>
      <c r="G28" s="8">
        <v>17</v>
      </c>
      <c r="H28" s="8">
        <v>4</v>
      </c>
      <c r="I28" s="8">
        <v>6</v>
      </c>
      <c r="J28" s="8">
        <f t="shared" si="5"/>
        <v>27</v>
      </c>
      <c r="K28" s="8">
        <v>1</v>
      </c>
      <c r="L28" s="8"/>
      <c r="M28" s="8"/>
      <c r="N28" s="8">
        <f t="shared" si="6"/>
        <v>1</v>
      </c>
      <c r="P28" s="10" t="s">
        <v>169</v>
      </c>
      <c r="Q28" s="8">
        <f t="shared" ref="Q28" si="7">Q25+(0.5*Q26)</f>
        <v>66</v>
      </c>
    </row>
    <row r="29" spans="2:17" ht="15" x14ac:dyDescent="0.2">
      <c r="B29" s="9" t="s">
        <v>103</v>
      </c>
      <c r="C29" s="8"/>
      <c r="D29" s="8"/>
      <c r="E29" s="8"/>
      <c r="F29" s="8">
        <f t="shared" si="4"/>
        <v>0</v>
      </c>
      <c r="G29" s="8">
        <v>4</v>
      </c>
      <c r="H29" s="8">
        <v>2</v>
      </c>
      <c r="I29" s="8">
        <v>2</v>
      </c>
      <c r="J29" s="8">
        <f t="shared" si="5"/>
        <v>8</v>
      </c>
      <c r="K29" s="8">
        <v>1</v>
      </c>
      <c r="L29" s="8"/>
      <c r="M29" s="8"/>
      <c r="N29" s="8">
        <f t="shared" si="6"/>
        <v>1</v>
      </c>
      <c r="P29" s="11" t="s">
        <v>157</v>
      </c>
      <c r="Q29" s="12">
        <f t="shared" ref="Q29" si="8">Q28/Q24</f>
        <v>0.80487804878048785</v>
      </c>
    </row>
    <row r="30" spans="2:17" ht="15" x14ac:dyDescent="0.2">
      <c r="B30" s="9" t="s">
        <v>104</v>
      </c>
      <c r="C30" s="8"/>
      <c r="D30" s="8"/>
      <c r="E30" s="8"/>
      <c r="F30" s="8">
        <f t="shared" si="4"/>
        <v>0</v>
      </c>
      <c r="G30" s="8">
        <v>1</v>
      </c>
      <c r="H30" s="8"/>
      <c r="I30" s="8"/>
      <c r="J30" s="8">
        <f t="shared" si="5"/>
        <v>1</v>
      </c>
      <c r="K30" s="8">
        <v>2</v>
      </c>
      <c r="L30" s="8"/>
      <c r="M30" s="8"/>
      <c r="N30" s="8">
        <f t="shared" si="6"/>
        <v>2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52</v>
      </c>
      <c r="H32" s="75">
        <f t="shared" si="9"/>
        <v>8</v>
      </c>
      <c r="I32" s="75">
        <f t="shared" si="9"/>
        <v>12</v>
      </c>
      <c r="J32" s="75">
        <f t="shared" si="9"/>
        <v>72</v>
      </c>
      <c r="K32" s="75">
        <f t="shared" si="9"/>
        <v>10</v>
      </c>
      <c r="L32" s="75">
        <f t="shared" si="9"/>
        <v>0</v>
      </c>
      <c r="M32" s="75">
        <f t="shared" si="9"/>
        <v>0</v>
      </c>
      <c r="N32" s="75">
        <f t="shared" si="9"/>
        <v>10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68118</v>
      </c>
    </row>
    <row r="38" spans="2:7" x14ac:dyDescent="0.2">
      <c r="B38" s="77" t="s">
        <v>159</v>
      </c>
      <c r="C38" s="77" t="s">
        <v>77</v>
      </c>
      <c r="D38" s="78">
        <v>66074</v>
      </c>
    </row>
    <row r="39" spans="2:7" x14ac:dyDescent="0.2">
      <c r="B39" s="77" t="s">
        <v>160</v>
      </c>
      <c r="C39" s="77" t="s">
        <v>78</v>
      </c>
      <c r="D39" s="79">
        <v>2044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16.112313249150315</v>
      </c>
    </row>
    <row r="44" spans="2:7" ht="15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C8B3-325E-994B-B12E-FBA0530D636B}">
  <sheetPr codeName="Sheet10"/>
  <dimension ref="B3:Q43"/>
  <sheetViews>
    <sheetView workbookViewId="0">
      <selection activeCell="P6" sqref="P6:P10"/>
    </sheetView>
  </sheetViews>
  <sheetFormatPr baseColWidth="10" defaultColWidth="11" defaultRowHeight="16" x14ac:dyDescent="0.2"/>
  <cols>
    <col min="2" max="2" width="21.5" customWidth="1"/>
    <col min="4" max="4" width="14.83203125" customWidth="1"/>
    <col min="8" max="8" width="15.83203125" customWidth="1"/>
    <col min="12" max="12" width="16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59</v>
      </c>
      <c r="C5" s="8">
        <v>1</v>
      </c>
      <c r="D5" s="8"/>
      <c r="E5" s="8"/>
      <c r="F5" s="8">
        <f>C5+D5+E5</f>
        <v>1</v>
      </c>
      <c r="G5" s="8">
        <v>39</v>
      </c>
      <c r="H5" s="8">
        <v>8</v>
      </c>
      <c r="I5" s="8">
        <v>25</v>
      </c>
      <c r="J5" s="8">
        <f>G5+H5+I5</f>
        <v>72</v>
      </c>
      <c r="K5" s="8">
        <v>4</v>
      </c>
      <c r="L5" s="8">
        <v>1</v>
      </c>
      <c r="M5" s="8"/>
      <c r="N5" s="8">
        <f>K5+L5+M5</f>
        <v>5</v>
      </c>
      <c r="P5" s="10" t="s">
        <v>50</v>
      </c>
      <c r="Q5" s="8">
        <f>F20+J20+N20</f>
        <v>342</v>
      </c>
    </row>
    <row r="6" spans="2:17" ht="17" x14ac:dyDescent="0.2">
      <c r="B6" s="9" t="s">
        <v>62</v>
      </c>
      <c r="C6" s="8"/>
      <c r="D6" s="8"/>
      <c r="E6" s="8">
        <v>1</v>
      </c>
      <c r="F6" s="8">
        <f t="shared" ref="F6:F19" si="0">C6+D6+E6</f>
        <v>1</v>
      </c>
      <c r="G6" s="8">
        <v>12</v>
      </c>
      <c r="H6" s="8">
        <v>4</v>
      </c>
      <c r="I6" s="8">
        <v>6</v>
      </c>
      <c r="J6" s="8">
        <f t="shared" ref="J6:J19" si="1">G6+H6+I6</f>
        <v>22</v>
      </c>
      <c r="K6" s="8">
        <v>1</v>
      </c>
      <c r="L6" s="8">
        <v>1</v>
      </c>
      <c r="M6" s="8"/>
      <c r="N6" s="8">
        <f t="shared" ref="N6:N19" si="2">K6+L6+M6</f>
        <v>2</v>
      </c>
      <c r="P6" s="10" t="s">
        <v>148</v>
      </c>
      <c r="Q6" s="8">
        <f>C20+G20+K20</f>
        <v>207</v>
      </c>
    </row>
    <row r="7" spans="2:17" ht="17" x14ac:dyDescent="0.2">
      <c r="B7" s="9" t="s">
        <v>96</v>
      </c>
      <c r="C7" s="8">
        <v>1</v>
      </c>
      <c r="D7" s="8"/>
      <c r="E7" s="8"/>
      <c r="F7" s="8">
        <f t="shared" si="0"/>
        <v>1</v>
      </c>
      <c r="G7" s="8">
        <v>14</v>
      </c>
      <c r="H7" s="8">
        <v>13</v>
      </c>
      <c r="I7" s="8">
        <v>7</v>
      </c>
      <c r="J7" s="8">
        <f t="shared" si="1"/>
        <v>34</v>
      </c>
      <c r="K7" s="8">
        <v>1</v>
      </c>
      <c r="L7" s="8"/>
      <c r="M7" s="8">
        <v>1</v>
      </c>
      <c r="N7" s="8">
        <f t="shared" si="2"/>
        <v>2</v>
      </c>
      <c r="P7" s="10" t="s">
        <v>167</v>
      </c>
      <c r="Q7" s="8">
        <f>D20+H20+L20</f>
        <v>53</v>
      </c>
    </row>
    <row r="8" spans="2:17" ht="17" x14ac:dyDescent="0.2">
      <c r="B8" s="9" t="s">
        <v>64</v>
      </c>
      <c r="C8" s="8">
        <v>2</v>
      </c>
      <c r="D8" s="8"/>
      <c r="E8" s="8">
        <v>1</v>
      </c>
      <c r="F8" s="8">
        <f t="shared" si="0"/>
        <v>3</v>
      </c>
      <c r="G8" s="8">
        <v>48</v>
      </c>
      <c r="H8" s="8">
        <v>11</v>
      </c>
      <c r="I8" s="8">
        <v>17</v>
      </c>
      <c r="J8" s="8">
        <f t="shared" si="1"/>
        <v>76</v>
      </c>
      <c r="K8" s="8">
        <v>4</v>
      </c>
      <c r="L8" s="8">
        <v>1</v>
      </c>
      <c r="M8" s="8"/>
      <c r="N8" s="8">
        <f t="shared" si="2"/>
        <v>5</v>
      </c>
      <c r="P8" s="10" t="s">
        <v>168</v>
      </c>
      <c r="Q8" s="8">
        <f>E20+I20+M20</f>
        <v>82</v>
      </c>
    </row>
    <row r="9" spans="2:17" ht="17" x14ac:dyDescent="0.2">
      <c r="B9" s="9" t="s">
        <v>86</v>
      </c>
      <c r="C9" s="8"/>
      <c r="D9" s="8"/>
      <c r="E9" s="8"/>
      <c r="F9" s="8">
        <f t="shared" si="0"/>
        <v>0</v>
      </c>
      <c r="G9" s="8">
        <v>8</v>
      </c>
      <c r="H9" s="8">
        <v>1</v>
      </c>
      <c r="I9" s="8">
        <v>8</v>
      </c>
      <c r="J9" s="8">
        <f t="shared" si="1"/>
        <v>17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233.5</v>
      </c>
    </row>
    <row r="10" spans="2:17" ht="15" x14ac:dyDescent="0.2">
      <c r="B10" s="9" t="s">
        <v>66</v>
      </c>
      <c r="C10" s="8">
        <v>1</v>
      </c>
      <c r="D10" s="8"/>
      <c r="E10" s="8"/>
      <c r="F10" s="8">
        <f t="shared" si="0"/>
        <v>1</v>
      </c>
      <c r="G10" s="8">
        <v>16</v>
      </c>
      <c r="H10" s="8">
        <v>1</v>
      </c>
      <c r="I10" s="8">
        <v>5</v>
      </c>
      <c r="J10" s="8">
        <f t="shared" si="1"/>
        <v>22</v>
      </c>
      <c r="K10" s="8">
        <v>1</v>
      </c>
      <c r="L10" s="8"/>
      <c r="M10" s="8"/>
      <c r="N10" s="8">
        <f t="shared" si="2"/>
        <v>1</v>
      </c>
      <c r="P10" s="11" t="s">
        <v>157</v>
      </c>
      <c r="Q10" s="12">
        <f>Q9/Q5</f>
        <v>0.68274853801169588</v>
      </c>
    </row>
    <row r="11" spans="2:17" ht="15" x14ac:dyDescent="0.2">
      <c r="B11" s="9" t="s">
        <v>67</v>
      </c>
      <c r="C11" s="8"/>
      <c r="D11" s="8">
        <v>1</v>
      </c>
      <c r="E11" s="8"/>
      <c r="F11" s="8">
        <f t="shared" si="0"/>
        <v>1</v>
      </c>
      <c r="G11" s="8">
        <v>40</v>
      </c>
      <c r="H11" s="8">
        <v>11</v>
      </c>
      <c r="I11" s="8">
        <v>10</v>
      </c>
      <c r="J11" s="8">
        <f t="shared" si="1"/>
        <v>61</v>
      </c>
      <c r="K11" s="8"/>
      <c r="L11" s="8"/>
      <c r="M11" s="8"/>
      <c r="N11" s="8">
        <f t="shared" si="2"/>
        <v>0</v>
      </c>
    </row>
    <row r="12" spans="2:17" ht="15" x14ac:dyDescent="0.2">
      <c r="B12" s="9" t="s">
        <v>69</v>
      </c>
      <c r="C12" s="8">
        <v>1</v>
      </c>
      <c r="D12" s="8"/>
      <c r="E12" s="8"/>
      <c r="F12" s="8">
        <f t="shared" si="0"/>
        <v>1</v>
      </c>
      <c r="G12" s="8">
        <v>11</v>
      </c>
      <c r="H12" s="8"/>
      <c r="I12" s="8">
        <v>1</v>
      </c>
      <c r="J12" s="8">
        <f t="shared" si="1"/>
        <v>12</v>
      </c>
      <c r="K12" s="8">
        <v>2</v>
      </c>
      <c r="L12" s="8"/>
      <c r="M12" s="8"/>
      <c r="N12" s="8">
        <f t="shared" si="2"/>
        <v>2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6</v>
      </c>
      <c r="D20" s="75">
        <f t="shared" si="3"/>
        <v>1</v>
      </c>
      <c r="E20" s="75">
        <f t="shared" si="3"/>
        <v>2</v>
      </c>
      <c r="F20" s="75">
        <f t="shared" si="3"/>
        <v>9</v>
      </c>
      <c r="G20" s="75">
        <f t="shared" si="3"/>
        <v>188</v>
      </c>
      <c r="H20" s="75">
        <f t="shared" si="3"/>
        <v>49</v>
      </c>
      <c r="I20" s="75">
        <f t="shared" si="3"/>
        <v>79</v>
      </c>
      <c r="J20" s="75">
        <f t="shared" si="3"/>
        <v>316</v>
      </c>
      <c r="K20" s="75">
        <f t="shared" si="3"/>
        <v>13</v>
      </c>
      <c r="L20" s="75">
        <f t="shared" si="3"/>
        <v>3</v>
      </c>
      <c r="M20" s="75">
        <f t="shared" si="3"/>
        <v>1</v>
      </c>
      <c r="N20" s="75">
        <f t="shared" si="3"/>
        <v>17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0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0</v>
      </c>
    </row>
    <row r="26" spans="2:17" ht="17" x14ac:dyDescent="0.2">
      <c r="B26" s="9" t="s">
        <v>70</v>
      </c>
      <c r="C26" s="8"/>
      <c r="D26" s="8"/>
      <c r="E26" s="8"/>
      <c r="F26" s="8">
        <f>C26+D26+E26</f>
        <v>0</v>
      </c>
      <c r="G26" s="8"/>
      <c r="H26" s="8"/>
      <c r="I26" s="8"/>
      <c r="J26" s="8">
        <f>G26+H26+I26</f>
        <v>0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0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0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0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 t="e">
        <f t="shared" ref="Q29" si="8">Q28/Q24</f>
        <v>#DIV/0!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0</v>
      </c>
      <c r="H32" s="75">
        <f t="shared" si="9"/>
        <v>0</v>
      </c>
      <c r="I32" s="75">
        <f t="shared" si="9"/>
        <v>0</v>
      </c>
      <c r="J32" s="75">
        <f t="shared" si="9"/>
        <v>0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 t="shared" si="9"/>
        <v>0</v>
      </c>
    </row>
    <row r="35" spans="2:7" x14ac:dyDescent="0.2">
      <c r="C35" s="180"/>
      <c r="D35" s="180"/>
      <c r="F35" s="180"/>
      <c r="G35" s="180"/>
    </row>
    <row r="36" spans="2:7" x14ac:dyDescent="0.2">
      <c r="B36" s="75" t="s">
        <v>161</v>
      </c>
      <c r="C36" s="80" t="s">
        <v>162</v>
      </c>
      <c r="D36" s="80" t="s">
        <v>163</v>
      </c>
    </row>
    <row r="37" spans="2:7" x14ac:dyDescent="0.2">
      <c r="B37" s="77" t="s">
        <v>158</v>
      </c>
      <c r="C37" s="77" t="s">
        <v>76</v>
      </c>
      <c r="D37" s="77">
        <v>1570598</v>
      </c>
    </row>
    <row r="38" spans="2:7" x14ac:dyDescent="0.2">
      <c r="B38" s="77" t="s">
        <v>159</v>
      </c>
      <c r="C38" s="77" t="s">
        <v>77</v>
      </c>
      <c r="D38" s="78">
        <v>1476362</v>
      </c>
    </row>
    <row r="39" spans="2:7" x14ac:dyDescent="0.2">
      <c r="B39" s="77" t="s">
        <v>160</v>
      </c>
      <c r="C39" s="77" t="s">
        <v>78</v>
      </c>
      <c r="D39" s="79">
        <v>94236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20.553735963796793</v>
      </c>
    </row>
    <row r="43" spans="2:7" ht="15" x14ac:dyDescent="0.2"/>
  </sheetData>
  <mergeCells count="10">
    <mergeCell ref="C35:D35"/>
    <mergeCell ref="F35:G35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54D0-24DA-944E-A1D0-0D62C76AFCFF}">
  <sheetPr codeName="Sheet11"/>
  <dimension ref="B3:Q41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6.1640625" customWidth="1"/>
    <col min="8" max="8" width="13.83203125" customWidth="1"/>
    <col min="12" max="12" width="1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57</v>
      </c>
      <c r="C5" s="8"/>
      <c r="D5" s="8"/>
      <c r="E5" s="8"/>
      <c r="F5" s="8">
        <f>C5+D5+E5</f>
        <v>0</v>
      </c>
      <c r="G5" s="8">
        <v>12</v>
      </c>
      <c r="H5" s="8">
        <v>5</v>
      </c>
      <c r="I5" s="8">
        <v>4</v>
      </c>
      <c r="J5" s="8">
        <f>G5+H5+I5</f>
        <v>21</v>
      </c>
      <c r="K5" s="8">
        <v>2</v>
      </c>
      <c r="L5" s="8"/>
      <c r="M5" s="8"/>
      <c r="N5" s="8">
        <f>K5+L5+M5</f>
        <v>2</v>
      </c>
      <c r="P5" s="10" t="s">
        <v>50</v>
      </c>
      <c r="Q5" s="8">
        <f>F20+J20+N20</f>
        <v>294</v>
      </c>
    </row>
    <row r="6" spans="2:17" ht="17" x14ac:dyDescent="0.2">
      <c r="B6" s="9" t="s">
        <v>62</v>
      </c>
      <c r="C6" s="8">
        <v>1</v>
      </c>
      <c r="D6" s="8"/>
      <c r="E6" s="8"/>
      <c r="F6" s="8">
        <f t="shared" ref="F6:F19" si="0">C6+D6+E6</f>
        <v>1</v>
      </c>
      <c r="G6" s="8">
        <v>17</v>
      </c>
      <c r="H6" s="8">
        <v>6</v>
      </c>
      <c r="I6" s="8">
        <v>1</v>
      </c>
      <c r="J6" s="8">
        <f t="shared" ref="J6:J19" si="1">G6+H6+I6</f>
        <v>24</v>
      </c>
      <c r="K6" s="8">
        <v>2</v>
      </c>
      <c r="L6" s="8"/>
      <c r="M6" s="8"/>
      <c r="N6" s="8">
        <f t="shared" ref="N6:N19" si="2">K6+L6+M6</f>
        <v>2</v>
      </c>
      <c r="P6" s="10" t="s">
        <v>148</v>
      </c>
      <c r="Q6" s="8">
        <f>C20+G20+K20</f>
        <v>213</v>
      </c>
    </row>
    <row r="7" spans="2:17" ht="17" x14ac:dyDescent="0.2">
      <c r="B7" s="9" t="s">
        <v>92</v>
      </c>
      <c r="C7" s="8"/>
      <c r="D7" s="8"/>
      <c r="E7" s="8"/>
      <c r="F7" s="8">
        <f t="shared" si="0"/>
        <v>0</v>
      </c>
      <c r="G7" s="8">
        <v>17</v>
      </c>
      <c r="H7" s="8">
        <v>2</v>
      </c>
      <c r="I7" s="8">
        <v>3</v>
      </c>
      <c r="J7" s="8">
        <f t="shared" si="1"/>
        <v>22</v>
      </c>
      <c r="K7" s="8">
        <v>1</v>
      </c>
      <c r="L7" s="8"/>
      <c r="M7" s="8">
        <v>1</v>
      </c>
      <c r="N7" s="8">
        <f t="shared" si="2"/>
        <v>2</v>
      </c>
      <c r="P7" s="10" t="s">
        <v>167</v>
      </c>
      <c r="Q7" s="8">
        <f>D20+H20+L20</f>
        <v>43</v>
      </c>
    </row>
    <row r="8" spans="2:17" ht="17" x14ac:dyDescent="0.2">
      <c r="B8" s="9" t="s">
        <v>105</v>
      </c>
      <c r="C8" s="8">
        <v>1</v>
      </c>
      <c r="D8" s="8"/>
      <c r="E8" s="8"/>
      <c r="F8" s="8">
        <f t="shared" si="0"/>
        <v>1</v>
      </c>
      <c r="G8" s="8"/>
      <c r="H8" s="8"/>
      <c r="I8" s="8"/>
      <c r="J8" s="8">
        <f t="shared" si="1"/>
        <v>0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38</v>
      </c>
    </row>
    <row r="9" spans="2:17" ht="17" x14ac:dyDescent="0.2">
      <c r="B9" s="9" t="s">
        <v>64</v>
      </c>
      <c r="C9" s="8">
        <v>2</v>
      </c>
      <c r="D9" s="8">
        <v>1</v>
      </c>
      <c r="E9" s="8"/>
      <c r="F9" s="8">
        <f t="shared" si="0"/>
        <v>3</v>
      </c>
      <c r="G9" s="8">
        <v>60</v>
      </c>
      <c r="H9" s="8">
        <v>7</v>
      </c>
      <c r="I9" s="8">
        <v>6</v>
      </c>
      <c r="J9" s="8">
        <f t="shared" si="1"/>
        <v>73</v>
      </c>
      <c r="K9" s="8">
        <v>3</v>
      </c>
      <c r="L9" s="8"/>
      <c r="M9" s="8">
        <v>1</v>
      </c>
      <c r="N9" s="8">
        <f t="shared" si="2"/>
        <v>4</v>
      </c>
      <c r="P9" s="10" t="s">
        <v>169</v>
      </c>
      <c r="Q9" s="8">
        <f>Q6+(0.5*Q7)</f>
        <v>234.5</v>
      </c>
    </row>
    <row r="10" spans="2:17" ht="15" x14ac:dyDescent="0.2">
      <c r="B10" s="9" t="s">
        <v>86</v>
      </c>
      <c r="C10" s="8"/>
      <c r="D10" s="8"/>
      <c r="E10" s="8"/>
      <c r="F10" s="8">
        <f t="shared" si="0"/>
        <v>0</v>
      </c>
      <c r="G10" s="8">
        <v>8</v>
      </c>
      <c r="H10" s="8">
        <v>5</v>
      </c>
      <c r="I10" s="8">
        <v>2</v>
      </c>
      <c r="J10" s="8">
        <f t="shared" si="1"/>
        <v>15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0.79761904761904767</v>
      </c>
    </row>
    <row r="11" spans="2:17" ht="15" x14ac:dyDescent="0.2">
      <c r="B11" s="9" t="s">
        <v>87</v>
      </c>
      <c r="C11" s="8"/>
      <c r="D11" s="8"/>
      <c r="E11" s="8"/>
      <c r="F11" s="8">
        <f t="shared" si="0"/>
        <v>0</v>
      </c>
      <c r="G11" s="8">
        <v>20</v>
      </c>
      <c r="H11" s="8">
        <v>3</v>
      </c>
      <c r="I11" s="8">
        <v>3</v>
      </c>
      <c r="J11" s="8">
        <f t="shared" si="1"/>
        <v>26</v>
      </c>
      <c r="K11" s="8">
        <v>1</v>
      </c>
      <c r="L11" s="8"/>
      <c r="M11" s="8"/>
      <c r="N11" s="8">
        <f t="shared" si="2"/>
        <v>1</v>
      </c>
    </row>
    <row r="12" spans="2:17" ht="15" x14ac:dyDescent="0.2">
      <c r="B12" s="9" t="s">
        <v>66</v>
      </c>
      <c r="C12" s="8"/>
      <c r="D12" s="8">
        <v>1</v>
      </c>
      <c r="E12" s="8"/>
      <c r="F12" s="8">
        <f t="shared" si="0"/>
        <v>1</v>
      </c>
      <c r="G12" s="8">
        <v>7</v>
      </c>
      <c r="H12" s="8">
        <v>2</v>
      </c>
      <c r="I12" s="8">
        <v>8</v>
      </c>
      <c r="J12" s="8">
        <f t="shared" si="1"/>
        <v>17</v>
      </c>
      <c r="K12" s="8">
        <v>1</v>
      </c>
      <c r="L12" s="8"/>
      <c r="M12" s="8"/>
      <c r="N12" s="8">
        <f t="shared" si="2"/>
        <v>1</v>
      </c>
    </row>
    <row r="13" spans="2:17" ht="15" x14ac:dyDescent="0.2">
      <c r="B13" s="9" t="s">
        <v>67</v>
      </c>
      <c r="C13" s="8">
        <v>1</v>
      </c>
      <c r="D13" s="8"/>
      <c r="E13" s="8"/>
      <c r="F13" s="8">
        <f t="shared" si="0"/>
        <v>1</v>
      </c>
      <c r="G13" s="8">
        <v>42</v>
      </c>
      <c r="H13" s="8">
        <v>10</v>
      </c>
      <c r="I13" s="8">
        <v>8</v>
      </c>
      <c r="J13" s="8">
        <f t="shared" si="1"/>
        <v>60</v>
      </c>
      <c r="K13" s="8">
        <v>2</v>
      </c>
      <c r="L13" s="8"/>
      <c r="M13" s="8"/>
      <c r="N13" s="8">
        <f t="shared" si="2"/>
        <v>2</v>
      </c>
    </row>
    <row r="14" spans="2:17" ht="15" x14ac:dyDescent="0.2">
      <c r="B14" s="9" t="s">
        <v>69</v>
      </c>
      <c r="C14" s="8">
        <v>1</v>
      </c>
      <c r="D14" s="8"/>
      <c r="E14" s="8"/>
      <c r="F14" s="8">
        <f t="shared" si="0"/>
        <v>1</v>
      </c>
      <c r="G14" s="8">
        <v>9</v>
      </c>
      <c r="H14" s="8">
        <v>1</v>
      </c>
      <c r="I14" s="8">
        <v>1</v>
      </c>
      <c r="J14" s="8">
        <f t="shared" si="1"/>
        <v>11</v>
      </c>
      <c r="K14" s="8">
        <v>2</v>
      </c>
      <c r="L14" s="8"/>
      <c r="M14" s="8"/>
      <c r="N14" s="8">
        <f t="shared" si="2"/>
        <v>2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6</v>
      </c>
      <c r="D20" s="75">
        <f t="shared" si="3"/>
        <v>2</v>
      </c>
      <c r="E20" s="75">
        <f t="shared" si="3"/>
        <v>0</v>
      </c>
      <c r="F20" s="75">
        <f t="shared" si="3"/>
        <v>8</v>
      </c>
      <c r="G20" s="75">
        <f t="shared" si="3"/>
        <v>192</v>
      </c>
      <c r="H20" s="75">
        <f t="shared" si="3"/>
        <v>41</v>
      </c>
      <c r="I20" s="75">
        <f t="shared" si="3"/>
        <v>36</v>
      </c>
      <c r="J20" s="75">
        <f t="shared" si="3"/>
        <v>269</v>
      </c>
      <c r="K20" s="75">
        <f t="shared" si="3"/>
        <v>15</v>
      </c>
      <c r="L20" s="75">
        <f t="shared" si="3"/>
        <v>0</v>
      </c>
      <c r="M20" s="75">
        <f t="shared" si="3"/>
        <v>2</v>
      </c>
      <c r="N20" s="75">
        <f t="shared" si="3"/>
        <v>17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0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0</v>
      </c>
    </row>
    <row r="26" spans="2:17" ht="17" x14ac:dyDescent="0.2">
      <c r="B26" s="9" t="s">
        <v>70</v>
      </c>
      <c r="C26" s="8"/>
      <c r="D26" s="8"/>
      <c r="E26" s="8"/>
      <c r="F26" s="8">
        <f>C26+D26+E26</f>
        <v>0</v>
      </c>
      <c r="G26" s="8"/>
      <c r="H26" s="8"/>
      <c r="I26" s="8"/>
      <c r="J26" s="8">
        <f>G26+H26+I26</f>
        <v>0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0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0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0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 t="e">
        <f t="shared" ref="Q29" si="8">Q28/Q24</f>
        <v>#DIV/0!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0</v>
      </c>
      <c r="H32" s="75">
        <f t="shared" si="9"/>
        <v>0</v>
      </c>
      <c r="I32" s="75">
        <f t="shared" si="9"/>
        <v>0</v>
      </c>
      <c r="J32" s="75">
        <f t="shared" si="9"/>
        <v>0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 t="shared" si="9"/>
        <v>0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98290</v>
      </c>
    </row>
    <row r="38" spans="2:7" x14ac:dyDescent="0.2">
      <c r="B38" s="77" t="s">
        <v>159</v>
      </c>
      <c r="C38" s="77" t="s">
        <v>77</v>
      </c>
      <c r="D38" s="78">
        <v>92393</v>
      </c>
    </row>
    <row r="39" spans="2:7" x14ac:dyDescent="0.2">
      <c r="B39" s="77" t="s">
        <v>160</v>
      </c>
      <c r="C39" s="77" t="s">
        <v>78</v>
      </c>
      <c r="D39" s="79">
        <v>5897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16.555622660434274</v>
      </c>
    </row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7911-987D-B94A-A3A1-29326EC7FCBD}">
  <sheetPr codeName="Sheet12"/>
  <dimension ref="B3:Q45"/>
  <sheetViews>
    <sheetView topLeftCell="A3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33203125" customWidth="1"/>
    <col min="8" max="8" width="14.83203125" customWidth="1"/>
    <col min="12" max="12" width="14.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59</v>
      </c>
      <c r="C5" s="8"/>
      <c r="D5" s="8"/>
      <c r="E5" s="8"/>
      <c r="F5" s="8">
        <f>C5+D5+E5</f>
        <v>0</v>
      </c>
      <c r="G5" s="8">
        <v>47</v>
      </c>
      <c r="H5" s="8">
        <v>7</v>
      </c>
      <c r="I5" s="8">
        <v>6</v>
      </c>
      <c r="J5" s="8">
        <f>G5+H5+I5</f>
        <v>60</v>
      </c>
      <c r="K5" s="8">
        <v>2</v>
      </c>
      <c r="L5" s="8">
        <v>2</v>
      </c>
      <c r="M5" s="8"/>
      <c r="N5" s="8">
        <f>K5+L5+M5</f>
        <v>4</v>
      </c>
      <c r="P5" s="10" t="s">
        <v>50</v>
      </c>
      <c r="Q5" s="8">
        <f>F20+J20+N20</f>
        <v>210</v>
      </c>
    </row>
    <row r="6" spans="2:17" ht="17" x14ac:dyDescent="0.2">
      <c r="B6" s="9" t="s">
        <v>66</v>
      </c>
      <c r="C6" s="8"/>
      <c r="D6" s="8"/>
      <c r="E6" s="8"/>
      <c r="F6" s="8">
        <f t="shared" ref="F6:F19" si="0">C6+D6+E6</f>
        <v>0</v>
      </c>
      <c r="G6" s="8">
        <v>5</v>
      </c>
      <c r="H6" s="8">
        <v>1</v>
      </c>
      <c r="I6" s="8">
        <v>1</v>
      </c>
      <c r="J6" s="8">
        <f t="shared" ref="J6:J19" si="1">G6+H6+I6</f>
        <v>7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154</v>
      </c>
    </row>
    <row r="7" spans="2:17" ht="17" x14ac:dyDescent="0.2">
      <c r="B7" s="9" t="s">
        <v>91</v>
      </c>
      <c r="C7" s="8"/>
      <c r="D7" s="8"/>
      <c r="E7" s="8"/>
      <c r="F7" s="8">
        <f t="shared" si="0"/>
        <v>0</v>
      </c>
      <c r="G7" s="8">
        <v>12</v>
      </c>
      <c r="H7" s="8">
        <v>4</v>
      </c>
      <c r="I7" s="8">
        <v>3</v>
      </c>
      <c r="J7" s="8">
        <f t="shared" si="1"/>
        <v>19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32</v>
      </c>
    </row>
    <row r="8" spans="2:17" ht="17" x14ac:dyDescent="0.2">
      <c r="B8" s="9" t="s">
        <v>62</v>
      </c>
      <c r="C8" s="8"/>
      <c r="D8" s="8"/>
      <c r="E8" s="8"/>
      <c r="F8" s="8">
        <f t="shared" si="0"/>
        <v>0</v>
      </c>
      <c r="G8" s="8">
        <v>19</v>
      </c>
      <c r="H8" s="8">
        <v>3</v>
      </c>
      <c r="I8" s="8">
        <v>1</v>
      </c>
      <c r="J8" s="8">
        <f t="shared" si="1"/>
        <v>23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24</v>
      </c>
    </row>
    <row r="9" spans="2:17" ht="17" x14ac:dyDescent="0.2">
      <c r="B9" s="9" t="s">
        <v>106</v>
      </c>
      <c r="C9" s="8"/>
      <c r="D9" s="8"/>
      <c r="E9" s="8"/>
      <c r="F9" s="8">
        <f t="shared" si="0"/>
        <v>0</v>
      </c>
      <c r="G9" s="8">
        <v>2</v>
      </c>
      <c r="H9" s="8">
        <v>2</v>
      </c>
      <c r="I9" s="8">
        <v>2</v>
      </c>
      <c r="J9" s="8">
        <f t="shared" si="1"/>
        <v>6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170</v>
      </c>
    </row>
    <row r="10" spans="2:17" ht="15" x14ac:dyDescent="0.2">
      <c r="B10" s="9" t="s">
        <v>96</v>
      </c>
      <c r="C10" s="8"/>
      <c r="D10" s="8"/>
      <c r="E10" s="8"/>
      <c r="F10" s="8">
        <f t="shared" si="0"/>
        <v>0</v>
      </c>
      <c r="G10" s="8">
        <v>19</v>
      </c>
      <c r="H10" s="8">
        <v>7</v>
      </c>
      <c r="I10" s="8">
        <v>9</v>
      </c>
      <c r="J10" s="8">
        <f t="shared" si="1"/>
        <v>35</v>
      </c>
      <c r="K10" s="8">
        <v>1</v>
      </c>
      <c r="L10" s="8"/>
      <c r="M10" s="8"/>
      <c r="N10" s="8">
        <f t="shared" si="2"/>
        <v>1</v>
      </c>
      <c r="P10" s="11" t="s">
        <v>157</v>
      </c>
      <c r="Q10" s="12">
        <f>Q9/Q5</f>
        <v>0.80952380952380953</v>
      </c>
    </row>
    <row r="11" spans="2:17" ht="15" x14ac:dyDescent="0.2">
      <c r="B11" s="9" t="s">
        <v>64</v>
      </c>
      <c r="C11" s="8"/>
      <c r="D11" s="8"/>
      <c r="E11" s="8"/>
      <c r="F11" s="8">
        <f t="shared" si="0"/>
        <v>0</v>
      </c>
      <c r="G11" s="8">
        <v>35</v>
      </c>
      <c r="H11" s="8">
        <v>3</v>
      </c>
      <c r="I11" s="8"/>
      <c r="J11" s="8">
        <f t="shared" si="1"/>
        <v>38</v>
      </c>
      <c r="K11" s="8">
        <v>2</v>
      </c>
      <c r="L11" s="8">
        <v>2</v>
      </c>
      <c r="M11" s="8"/>
      <c r="N11" s="8">
        <f t="shared" si="2"/>
        <v>4</v>
      </c>
    </row>
    <row r="12" spans="2:17" ht="15" x14ac:dyDescent="0.2">
      <c r="B12" s="9" t="s">
        <v>95</v>
      </c>
      <c r="C12" s="8"/>
      <c r="D12" s="8"/>
      <c r="E12" s="8"/>
      <c r="F12" s="8">
        <f t="shared" si="0"/>
        <v>0</v>
      </c>
      <c r="G12" s="8">
        <v>7</v>
      </c>
      <c r="H12" s="8">
        <v>1</v>
      </c>
      <c r="I12" s="8">
        <v>2</v>
      </c>
      <c r="J12" s="8">
        <f t="shared" si="1"/>
        <v>10</v>
      </c>
      <c r="K12" s="8">
        <v>1</v>
      </c>
      <c r="L12" s="8"/>
      <c r="M12" s="8"/>
      <c r="N12" s="8">
        <f t="shared" si="2"/>
        <v>1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146</v>
      </c>
      <c r="H20" s="75">
        <f t="shared" si="3"/>
        <v>28</v>
      </c>
      <c r="I20" s="75">
        <f t="shared" si="3"/>
        <v>24</v>
      </c>
      <c r="J20" s="75">
        <f t="shared" si="3"/>
        <v>198</v>
      </c>
      <c r="K20" s="75">
        <f t="shared" si="3"/>
        <v>8</v>
      </c>
      <c r="L20" s="75">
        <f t="shared" si="3"/>
        <v>4</v>
      </c>
      <c r="M20" s="75">
        <f t="shared" si="3"/>
        <v>0</v>
      </c>
      <c r="N20" s="75">
        <f t="shared" si="3"/>
        <v>12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75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47</v>
      </c>
    </row>
    <row r="26" spans="2:17" ht="17" x14ac:dyDescent="0.2">
      <c r="B26" s="9" t="s">
        <v>75</v>
      </c>
      <c r="C26" s="8"/>
      <c r="D26" s="8"/>
      <c r="E26" s="8"/>
      <c r="F26" s="8">
        <f>C26+D26+E26</f>
        <v>0</v>
      </c>
      <c r="G26" s="8">
        <v>16</v>
      </c>
      <c r="H26" s="8">
        <v>6</v>
      </c>
      <c r="I26" s="8">
        <v>8</v>
      </c>
      <c r="J26" s="8">
        <f>G26+H26+I26</f>
        <v>30</v>
      </c>
      <c r="K26" s="8">
        <v>2</v>
      </c>
      <c r="L26" s="8">
        <v>1</v>
      </c>
      <c r="M26" s="8">
        <v>1</v>
      </c>
      <c r="N26" s="8">
        <f>K26+L26+M26</f>
        <v>4</v>
      </c>
      <c r="P26" s="10" t="s">
        <v>167</v>
      </c>
      <c r="Q26" s="8">
        <f>D32+H32+L32</f>
        <v>16</v>
      </c>
    </row>
    <row r="27" spans="2:17" ht="17" x14ac:dyDescent="0.2">
      <c r="B27" s="9" t="s">
        <v>81</v>
      </c>
      <c r="C27" s="8"/>
      <c r="D27" s="8"/>
      <c r="E27" s="8"/>
      <c r="F27" s="8">
        <f t="shared" ref="F27:F31" si="4">C27+D27+E27</f>
        <v>0</v>
      </c>
      <c r="G27" s="8">
        <v>16</v>
      </c>
      <c r="H27" s="8">
        <v>6</v>
      </c>
      <c r="I27" s="8">
        <v>2</v>
      </c>
      <c r="J27" s="8">
        <f t="shared" ref="J27:J31" si="5">G27+H27+I27</f>
        <v>24</v>
      </c>
      <c r="K27" s="8">
        <v>2</v>
      </c>
      <c r="L27" s="8">
        <v>3</v>
      </c>
      <c r="M27" s="8"/>
      <c r="N27" s="8">
        <f t="shared" ref="N27:N31" si="6">K27+L27+M27</f>
        <v>5</v>
      </c>
      <c r="P27" s="10" t="s">
        <v>168</v>
      </c>
      <c r="Q27" s="8">
        <f>E32+I32+M32</f>
        <v>12</v>
      </c>
    </row>
    <row r="28" spans="2:17" ht="17" x14ac:dyDescent="0.2">
      <c r="B28" s="9" t="s">
        <v>84</v>
      </c>
      <c r="C28" s="8"/>
      <c r="D28" s="8"/>
      <c r="E28" s="8"/>
      <c r="F28" s="8">
        <f t="shared" si="4"/>
        <v>0</v>
      </c>
      <c r="G28" s="8">
        <v>9</v>
      </c>
      <c r="H28" s="8"/>
      <c r="I28" s="8">
        <v>1</v>
      </c>
      <c r="J28" s="8">
        <f t="shared" si="5"/>
        <v>10</v>
      </c>
      <c r="K28" s="8">
        <v>2</v>
      </c>
      <c r="L28" s="8"/>
      <c r="M28" s="8"/>
      <c r="N28" s="8">
        <f t="shared" si="6"/>
        <v>2</v>
      </c>
      <c r="P28" s="10" t="s">
        <v>169</v>
      </c>
      <c r="Q28" s="8">
        <f t="shared" ref="Q28" si="7">Q25+(0.5*Q26)</f>
        <v>55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0.73333333333333328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41</v>
      </c>
      <c r="H32" s="75">
        <f t="shared" si="9"/>
        <v>12</v>
      </c>
      <c r="I32" s="75">
        <f t="shared" si="9"/>
        <v>11</v>
      </c>
      <c r="J32" s="75">
        <f t="shared" si="9"/>
        <v>64</v>
      </c>
      <c r="K32" s="75">
        <f t="shared" si="9"/>
        <v>6</v>
      </c>
      <c r="L32" s="75">
        <f t="shared" si="9"/>
        <v>4</v>
      </c>
      <c r="M32" s="75">
        <f t="shared" si="9"/>
        <v>1</v>
      </c>
      <c r="N32" s="75">
        <f t="shared" si="9"/>
        <v>11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580767</v>
      </c>
    </row>
    <row r="39" spans="2:7" x14ac:dyDescent="0.2">
      <c r="B39" s="77" t="s">
        <v>159</v>
      </c>
      <c r="C39" s="77" t="s">
        <v>77</v>
      </c>
      <c r="D39" s="78">
        <v>522690</v>
      </c>
    </row>
    <row r="40" spans="2:7" x14ac:dyDescent="0.2">
      <c r="B40" s="77" t="s">
        <v>160</v>
      </c>
      <c r="C40" s="77" t="s">
        <v>78</v>
      </c>
      <c r="D40" s="79">
        <v>58077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18.995595204606378</v>
      </c>
    </row>
    <row r="44" spans="2:7" ht="15" x14ac:dyDescent="0.2"/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4478-2FD1-3447-8948-49BE48429619}">
  <sheetPr codeName="Sheet13"/>
  <dimension ref="B3:Q45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1640625" customWidth="1"/>
    <col min="8" max="8" width="16" customWidth="1"/>
    <col min="12" max="12" width="14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80</v>
      </c>
      <c r="C5" s="8"/>
      <c r="D5" s="8"/>
      <c r="E5" s="8"/>
      <c r="F5" s="8">
        <f>C5+D5+E5</f>
        <v>0</v>
      </c>
      <c r="G5" s="8"/>
      <c r="H5" s="8"/>
      <c r="I5" s="8"/>
      <c r="J5" s="8">
        <f>G5+H5+I5</f>
        <v>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122</v>
      </c>
    </row>
    <row r="6" spans="2:17" ht="17" x14ac:dyDescent="0.2">
      <c r="B6" s="9" t="s">
        <v>91</v>
      </c>
      <c r="C6" s="8"/>
      <c r="D6" s="8"/>
      <c r="E6" s="8"/>
      <c r="F6" s="8">
        <f t="shared" ref="F6:F19" si="0">C6+D6+E6</f>
        <v>0</v>
      </c>
      <c r="G6" s="8">
        <v>8</v>
      </c>
      <c r="H6" s="8">
        <v>4</v>
      </c>
      <c r="I6" s="8">
        <v>4</v>
      </c>
      <c r="J6" s="8">
        <f t="shared" ref="J6:J19" si="1">G6+H6+I6</f>
        <v>16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80</v>
      </c>
    </row>
    <row r="7" spans="2:17" ht="17" x14ac:dyDescent="0.2">
      <c r="B7" s="9" t="s">
        <v>81</v>
      </c>
      <c r="C7" s="8"/>
      <c r="D7" s="8"/>
      <c r="E7" s="8"/>
      <c r="F7" s="8">
        <f t="shared" si="0"/>
        <v>0</v>
      </c>
      <c r="G7" s="8">
        <v>18</v>
      </c>
      <c r="H7" s="8">
        <v>7</v>
      </c>
      <c r="I7" s="8">
        <v>1</v>
      </c>
      <c r="J7" s="8">
        <f t="shared" si="1"/>
        <v>26</v>
      </c>
      <c r="K7" s="8">
        <v>5</v>
      </c>
      <c r="L7" s="8"/>
      <c r="M7" s="8"/>
      <c r="N7" s="8">
        <f t="shared" si="2"/>
        <v>5</v>
      </c>
      <c r="P7" s="10" t="s">
        <v>167</v>
      </c>
      <c r="Q7" s="8">
        <f>D20+H20+L20</f>
        <v>24</v>
      </c>
    </row>
    <row r="8" spans="2:17" ht="17" x14ac:dyDescent="0.2">
      <c r="B8" s="9" t="s">
        <v>66</v>
      </c>
      <c r="C8" s="8"/>
      <c r="D8" s="8"/>
      <c r="E8" s="8"/>
      <c r="F8" s="8">
        <f t="shared" si="0"/>
        <v>0</v>
      </c>
      <c r="G8" s="8">
        <v>5</v>
      </c>
      <c r="H8" s="8">
        <v>1</v>
      </c>
      <c r="I8" s="8">
        <v>4</v>
      </c>
      <c r="J8" s="8">
        <f t="shared" si="1"/>
        <v>10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18</v>
      </c>
    </row>
    <row r="9" spans="2:17" ht="17" x14ac:dyDescent="0.2">
      <c r="B9" s="9" t="s">
        <v>107</v>
      </c>
      <c r="C9" s="8"/>
      <c r="D9" s="8"/>
      <c r="E9" s="8"/>
      <c r="F9" s="8">
        <f t="shared" si="0"/>
        <v>0</v>
      </c>
      <c r="G9" s="8">
        <v>3</v>
      </c>
      <c r="H9" s="8">
        <v>1</v>
      </c>
      <c r="I9" s="8">
        <v>2</v>
      </c>
      <c r="J9" s="8">
        <f t="shared" si="1"/>
        <v>6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92</v>
      </c>
    </row>
    <row r="10" spans="2:17" ht="15" x14ac:dyDescent="0.2">
      <c r="B10" s="9" t="s">
        <v>59</v>
      </c>
      <c r="C10" s="8"/>
      <c r="D10" s="8"/>
      <c r="E10" s="8"/>
      <c r="F10" s="8">
        <f t="shared" si="0"/>
        <v>0</v>
      </c>
      <c r="G10" s="8">
        <v>37</v>
      </c>
      <c r="H10" s="8">
        <v>10</v>
      </c>
      <c r="I10" s="8">
        <v>6</v>
      </c>
      <c r="J10" s="8">
        <f t="shared" si="1"/>
        <v>53</v>
      </c>
      <c r="K10" s="8">
        <v>3</v>
      </c>
      <c r="L10" s="8">
        <v>1</v>
      </c>
      <c r="M10" s="8">
        <v>1</v>
      </c>
      <c r="N10" s="8">
        <f t="shared" si="2"/>
        <v>5</v>
      </c>
      <c r="P10" s="11" t="s">
        <v>157</v>
      </c>
      <c r="Q10" s="12">
        <f>Q9/Q5</f>
        <v>0.75409836065573765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71</v>
      </c>
      <c r="H20" s="75">
        <f t="shared" si="3"/>
        <v>23</v>
      </c>
      <c r="I20" s="75">
        <f t="shared" si="3"/>
        <v>17</v>
      </c>
      <c r="J20" s="75">
        <f t="shared" si="3"/>
        <v>111</v>
      </c>
      <c r="K20" s="75">
        <f t="shared" si="3"/>
        <v>9</v>
      </c>
      <c r="L20" s="75">
        <f t="shared" si="3"/>
        <v>1</v>
      </c>
      <c r="M20" s="75">
        <f t="shared" si="3"/>
        <v>1</v>
      </c>
      <c r="N20" s="75">
        <f t="shared" si="3"/>
        <v>11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37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20</v>
      </c>
    </row>
    <row r="26" spans="2:17" ht="17" x14ac:dyDescent="0.2">
      <c r="B26" s="9" t="s">
        <v>75</v>
      </c>
      <c r="C26" s="8"/>
      <c r="D26" s="8"/>
      <c r="E26" s="8"/>
      <c r="F26" s="8">
        <f>C26+D26+E26</f>
        <v>0</v>
      </c>
      <c r="G26" s="8">
        <v>18</v>
      </c>
      <c r="H26" s="8">
        <v>11</v>
      </c>
      <c r="I26" s="8">
        <v>4</v>
      </c>
      <c r="J26" s="8">
        <f>G26+H26+I26</f>
        <v>33</v>
      </c>
      <c r="K26" s="8">
        <v>2</v>
      </c>
      <c r="L26" s="8">
        <v>1</v>
      </c>
      <c r="M26" s="8">
        <v>1</v>
      </c>
      <c r="N26" s="8">
        <f>K26+L26+M26</f>
        <v>4</v>
      </c>
      <c r="P26" s="10" t="s">
        <v>167</v>
      </c>
      <c r="Q26" s="8">
        <f>D32+H32+L32</f>
        <v>12</v>
      </c>
    </row>
    <row r="27" spans="2:17" ht="17" x14ac:dyDescent="0.2">
      <c r="B27" s="9" t="s">
        <v>70</v>
      </c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5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26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0.70270270270270274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18</v>
      </c>
      <c r="H32" s="75">
        <f t="shared" si="9"/>
        <v>11</v>
      </c>
      <c r="I32" s="75">
        <f t="shared" si="9"/>
        <v>4</v>
      </c>
      <c r="J32" s="75">
        <f t="shared" si="9"/>
        <v>33</v>
      </c>
      <c r="K32" s="75">
        <f t="shared" si="9"/>
        <v>2</v>
      </c>
      <c r="L32" s="75">
        <f t="shared" si="9"/>
        <v>1</v>
      </c>
      <c r="M32" s="75">
        <f t="shared" si="9"/>
        <v>1</v>
      </c>
      <c r="N32" s="75">
        <f t="shared" si="9"/>
        <v>4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7378</v>
      </c>
    </row>
    <row r="39" spans="2:7" x14ac:dyDescent="0.2">
      <c r="B39" s="77" t="s">
        <v>159</v>
      </c>
      <c r="C39" s="77" t="s">
        <v>77</v>
      </c>
      <c r="D39" s="78">
        <v>6271</v>
      </c>
    </row>
    <row r="40" spans="2:7" x14ac:dyDescent="0.2">
      <c r="B40" s="77" t="s">
        <v>160</v>
      </c>
      <c r="C40" s="77" t="s">
        <v>78</v>
      </c>
      <c r="D40" s="79">
        <v>1107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12.526939316259334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E1FF-C887-734B-AE9D-79AB755C7F4B}">
  <sheetPr codeName="Sheet14"/>
  <dimension ref="B3:Q45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33203125" customWidth="1"/>
    <col min="8" max="8" width="16.5" customWidth="1"/>
    <col min="12" max="12" width="15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92</v>
      </c>
      <c r="C5" s="8"/>
      <c r="D5" s="8"/>
      <c r="E5" s="8"/>
      <c r="F5" s="8">
        <f>C5+D5+E5</f>
        <v>0</v>
      </c>
      <c r="G5" s="8">
        <v>12</v>
      </c>
      <c r="H5" s="8">
        <v>5</v>
      </c>
      <c r="I5" s="8">
        <v>11</v>
      </c>
      <c r="J5" s="8">
        <f>G5+H5+I5</f>
        <v>28</v>
      </c>
      <c r="K5" s="8">
        <v>1</v>
      </c>
      <c r="L5" s="8"/>
      <c r="M5" s="8"/>
      <c r="N5" s="8">
        <f>K5+L5+M5</f>
        <v>1</v>
      </c>
      <c r="P5" s="10" t="s">
        <v>50</v>
      </c>
      <c r="Q5" s="8">
        <f>F20+J20+N20</f>
        <v>224</v>
      </c>
    </row>
    <row r="6" spans="2:17" ht="17" x14ac:dyDescent="0.2">
      <c r="B6" s="9" t="s">
        <v>59</v>
      </c>
      <c r="C6" s="8">
        <v>1</v>
      </c>
      <c r="D6" s="8"/>
      <c r="E6" s="8"/>
      <c r="F6" s="8">
        <f t="shared" ref="F6:F19" si="0">C6+D6+E6</f>
        <v>1</v>
      </c>
      <c r="G6" s="8">
        <v>52</v>
      </c>
      <c r="H6" s="8">
        <v>8</v>
      </c>
      <c r="I6" s="8">
        <v>3</v>
      </c>
      <c r="J6" s="8">
        <f t="shared" ref="J6:J19" si="1">G6+H6+I6</f>
        <v>63</v>
      </c>
      <c r="K6" s="8">
        <v>2</v>
      </c>
      <c r="L6" s="8">
        <v>2</v>
      </c>
      <c r="M6" s="8"/>
      <c r="N6" s="8">
        <f t="shared" ref="N6:N19" si="2">K6+L6+M6</f>
        <v>4</v>
      </c>
      <c r="P6" s="10" t="s">
        <v>148</v>
      </c>
      <c r="Q6" s="8">
        <f>C20+G20+K20</f>
        <v>155</v>
      </c>
    </row>
    <row r="7" spans="2:17" ht="17" x14ac:dyDescent="0.2">
      <c r="B7" s="9" t="s">
        <v>93</v>
      </c>
      <c r="C7" s="8">
        <v>1</v>
      </c>
      <c r="D7" s="8"/>
      <c r="E7" s="8"/>
      <c r="F7" s="8">
        <f t="shared" si="0"/>
        <v>1</v>
      </c>
      <c r="G7" s="8">
        <v>9</v>
      </c>
      <c r="H7" s="8">
        <v>1</v>
      </c>
      <c r="I7" s="8">
        <v>3</v>
      </c>
      <c r="J7" s="8">
        <f t="shared" si="1"/>
        <v>13</v>
      </c>
      <c r="K7" s="8">
        <v>3</v>
      </c>
      <c r="L7" s="8"/>
      <c r="M7" s="8"/>
      <c r="N7" s="8">
        <f t="shared" si="2"/>
        <v>3</v>
      </c>
      <c r="P7" s="10" t="s">
        <v>167</v>
      </c>
      <c r="Q7" s="8">
        <f>D20+H20+L20</f>
        <v>36</v>
      </c>
    </row>
    <row r="8" spans="2:17" ht="17" x14ac:dyDescent="0.2">
      <c r="B8" s="9" t="s">
        <v>75</v>
      </c>
      <c r="C8" s="8">
        <v>1</v>
      </c>
      <c r="D8" s="8"/>
      <c r="E8" s="8"/>
      <c r="F8" s="8">
        <f t="shared" si="0"/>
        <v>1</v>
      </c>
      <c r="G8" s="8">
        <v>17</v>
      </c>
      <c r="H8" s="8">
        <v>11</v>
      </c>
      <c r="I8" s="8">
        <v>5</v>
      </c>
      <c r="J8" s="8">
        <f t="shared" si="1"/>
        <v>33</v>
      </c>
      <c r="K8" s="8">
        <v>2</v>
      </c>
      <c r="L8" s="8"/>
      <c r="M8" s="8">
        <v>2</v>
      </c>
      <c r="N8" s="8">
        <f t="shared" si="2"/>
        <v>4</v>
      </c>
      <c r="P8" s="10" t="s">
        <v>168</v>
      </c>
      <c r="Q8" s="8">
        <f>E20+I20+M20</f>
        <v>33</v>
      </c>
    </row>
    <row r="9" spans="2:17" ht="17" x14ac:dyDescent="0.2">
      <c r="B9" s="9" t="s">
        <v>84</v>
      </c>
      <c r="C9" s="8"/>
      <c r="D9" s="8">
        <v>1</v>
      </c>
      <c r="E9" s="8"/>
      <c r="F9" s="8">
        <f t="shared" si="0"/>
        <v>1</v>
      </c>
      <c r="G9" s="8">
        <v>10</v>
      </c>
      <c r="H9" s="8">
        <v>1</v>
      </c>
      <c r="I9" s="8">
        <v>2</v>
      </c>
      <c r="J9" s="8">
        <f t="shared" si="1"/>
        <v>13</v>
      </c>
      <c r="K9" s="8">
        <v>2</v>
      </c>
      <c r="L9" s="8"/>
      <c r="M9" s="8"/>
      <c r="N9" s="8">
        <f t="shared" si="2"/>
        <v>2</v>
      </c>
      <c r="P9" s="10" t="s">
        <v>169</v>
      </c>
      <c r="Q9" s="8">
        <f>Q6+(0.5*Q7)</f>
        <v>173</v>
      </c>
    </row>
    <row r="10" spans="2:17" ht="15" x14ac:dyDescent="0.2">
      <c r="B10" s="9" t="s">
        <v>70</v>
      </c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0.7723214285714286</v>
      </c>
    </row>
    <row r="11" spans="2:17" ht="15" x14ac:dyDescent="0.2">
      <c r="B11" s="9" t="s">
        <v>60</v>
      </c>
      <c r="C11" s="8"/>
      <c r="D11" s="8"/>
      <c r="E11" s="8"/>
      <c r="F11" s="8">
        <f t="shared" si="0"/>
        <v>0</v>
      </c>
      <c r="G11" s="8">
        <v>5</v>
      </c>
      <c r="H11" s="8"/>
      <c r="I11" s="8">
        <v>1</v>
      </c>
      <c r="J11" s="8">
        <f t="shared" si="1"/>
        <v>6</v>
      </c>
      <c r="K11" s="8"/>
      <c r="L11" s="8"/>
      <c r="M11" s="8"/>
      <c r="N11" s="8">
        <f t="shared" si="2"/>
        <v>0</v>
      </c>
    </row>
    <row r="12" spans="2:17" ht="15" x14ac:dyDescent="0.2">
      <c r="B12" s="9" t="s">
        <v>94</v>
      </c>
      <c r="C12" s="8"/>
      <c r="D12" s="8"/>
      <c r="E12" s="8"/>
      <c r="F12" s="8">
        <f t="shared" si="0"/>
        <v>0</v>
      </c>
      <c r="G12" s="8">
        <v>6</v>
      </c>
      <c r="H12" s="8">
        <v>1</v>
      </c>
      <c r="I12" s="8"/>
      <c r="J12" s="8">
        <f t="shared" si="1"/>
        <v>7</v>
      </c>
      <c r="K12" s="8"/>
      <c r="L12" s="8"/>
      <c r="M12" s="8"/>
      <c r="N12" s="8">
        <f t="shared" si="2"/>
        <v>0</v>
      </c>
    </row>
    <row r="13" spans="2:17" ht="15" x14ac:dyDescent="0.2">
      <c r="B13" s="9" t="s">
        <v>95</v>
      </c>
      <c r="C13" s="8"/>
      <c r="D13" s="8"/>
      <c r="E13" s="8"/>
      <c r="F13" s="8">
        <f t="shared" si="0"/>
        <v>0</v>
      </c>
      <c r="G13" s="8">
        <v>11</v>
      </c>
      <c r="H13" s="8">
        <v>5</v>
      </c>
      <c r="I13" s="8">
        <v>2</v>
      </c>
      <c r="J13" s="8">
        <f t="shared" si="1"/>
        <v>18</v>
      </c>
      <c r="K13" s="8">
        <v>1</v>
      </c>
      <c r="L13" s="8"/>
      <c r="M13" s="8"/>
      <c r="N13" s="8">
        <f t="shared" si="2"/>
        <v>1</v>
      </c>
    </row>
    <row r="14" spans="2:17" ht="15" x14ac:dyDescent="0.2">
      <c r="B14" s="9" t="s">
        <v>74</v>
      </c>
      <c r="C14" s="8"/>
      <c r="D14" s="8"/>
      <c r="E14" s="8"/>
      <c r="F14" s="8">
        <f t="shared" si="0"/>
        <v>0</v>
      </c>
      <c r="G14" s="8">
        <v>16</v>
      </c>
      <c r="H14" s="8">
        <v>1</v>
      </c>
      <c r="I14" s="8">
        <v>3</v>
      </c>
      <c r="J14" s="8">
        <f t="shared" si="1"/>
        <v>20</v>
      </c>
      <c r="K14" s="8">
        <v>3</v>
      </c>
      <c r="L14" s="8"/>
      <c r="M14" s="8">
        <v>1</v>
      </c>
      <c r="N14" s="8">
        <f t="shared" si="2"/>
        <v>4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9"/>
      <c r="C19" s="8"/>
      <c r="D19" s="8"/>
      <c r="E19" s="8"/>
      <c r="F19" s="8">
        <f t="shared" si="0"/>
        <v>0</v>
      </c>
      <c r="G19" s="8"/>
      <c r="H19" s="8"/>
      <c r="I19" s="8"/>
      <c r="J19" s="8">
        <f t="shared" si="1"/>
        <v>0</v>
      </c>
      <c r="K19" s="8"/>
      <c r="L19" s="8"/>
      <c r="M19" s="8"/>
      <c r="N19" s="8">
        <f t="shared" si="2"/>
        <v>0</v>
      </c>
    </row>
    <row r="20" spans="2:17" x14ac:dyDescent="0.2">
      <c r="B20" s="6" t="s">
        <v>165</v>
      </c>
      <c r="C20" s="6">
        <f t="shared" ref="C20:N20" si="3">SUM(C5:C19)</f>
        <v>3</v>
      </c>
      <c r="D20" s="6">
        <f t="shared" si="3"/>
        <v>1</v>
      </c>
      <c r="E20" s="6">
        <f t="shared" si="3"/>
        <v>0</v>
      </c>
      <c r="F20" s="6">
        <f t="shared" si="3"/>
        <v>4</v>
      </c>
      <c r="G20" s="6">
        <f t="shared" si="3"/>
        <v>138</v>
      </c>
      <c r="H20" s="6">
        <f t="shared" si="3"/>
        <v>33</v>
      </c>
      <c r="I20" s="6">
        <f t="shared" si="3"/>
        <v>30</v>
      </c>
      <c r="J20" s="6">
        <f t="shared" si="3"/>
        <v>201</v>
      </c>
      <c r="K20" s="6">
        <f t="shared" si="3"/>
        <v>14</v>
      </c>
      <c r="L20" s="6">
        <f t="shared" si="3"/>
        <v>2</v>
      </c>
      <c r="M20" s="6">
        <f t="shared" si="3"/>
        <v>3</v>
      </c>
      <c r="N20" s="6">
        <f t="shared" si="3"/>
        <v>19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25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20</v>
      </c>
    </row>
    <row r="26" spans="2:17" ht="17" x14ac:dyDescent="0.2">
      <c r="B26" s="9" t="s">
        <v>108</v>
      </c>
      <c r="C26" s="8"/>
      <c r="D26" s="8"/>
      <c r="E26" s="8"/>
      <c r="F26" s="8">
        <f>C26+D26+E26</f>
        <v>0</v>
      </c>
      <c r="G26" s="8">
        <v>17</v>
      </c>
      <c r="H26" s="8">
        <v>1</v>
      </c>
      <c r="I26" s="8">
        <v>3</v>
      </c>
      <c r="J26" s="8">
        <f>G26+H26+I26</f>
        <v>21</v>
      </c>
      <c r="K26" s="8">
        <v>3</v>
      </c>
      <c r="L26" s="8"/>
      <c r="M26" s="8">
        <v>1</v>
      </c>
      <c r="N26" s="8">
        <f>K26+L26+M26</f>
        <v>4</v>
      </c>
      <c r="P26" s="10" t="s">
        <v>167</v>
      </c>
      <c r="Q26" s="8">
        <f>D32+H32+L32</f>
        <v>1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4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20.5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0.82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9"/>
      <c r="C31" s="8"/>
      <c r="D31" s="8"/>
      <c r="E31" s="8"/>
      <c r="F31" s="8">
        <f t="shared" si="4"/>
        <v>0</v>
      </c>
      <c r="G31" s="8"/>
      <c r="H31" s="8"/>
      <c r="I31" s="8"/>
      <c r="J31" s="8">
        <f t="shared" si="5"/>
        <v>0</v>
      </c>
      <c r="K31" s="8"/>
      <c r="L31" s="8"/>
      <c r="M31" s="8"/>
      <c r="N31" s="8">
        <f t="shared" si="6"/>
        <v>0</v>
      </c>
    </row>
    <row r="32" spans="2:17" x14ac:dyDescent="0.2">
      <c r="B32" s="6" t="s">
        <v>165</v>
      </c>
      <c r="C32" s="6">
        <f>SUM(C26:C31)</f>
        <v>0</v>
      </c>
      <c r="D32" s="6">
        <f t="shared" ref="D32:N32" si="9">SUM(D26:D31)</f>
        <v>0</v>
      </c>
      <c r="E32" s="6">
        <f t="shared" si="9"/>
        <v>0</v>
      </c>
      <c r="F32" s="6">
        <f t="shared" si="9"/>
        <v>0</v>
      </c>
      <c r="G32" s="6">
        <f t="shared" si="9"/>
        <v>17</v>
      </c>
      <c r="H32" s="6">
        <f t="shared" si="9"/>
        <v>1</v>
      </c>
      <c r="I32" s="6">
        <f t="shared" si="9"/>
        <v>3</v>
      </c>
      <c r="J32" s="6">
        <f t="shared" si="9"/>
        <v>21</v>
      </c>
      <c r="K32" s="6">
        <f t="shared" si="9"/>
        <v>3</v>
      </c>
      <c r="L32" s="6">
        <f t="shared" si="9"/>
        <v>0</v>
      </c>
      <c r="M32" s="6">
        <f t="shared" si="9"/>
        <v>1</v>
      </c>
      <c r="N32" s="6">
        <f t="shared" si="9"/>
        <v>4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974938</v>
      </c>
    </row>
    <row r="39" spans="2:7" x14ac:dyDescent="0.2">
      <c r="B39" s="77" t="s">
        <v>159</v>
      </c>
      <c r="C39" s="77" t="s">
        <v>77</v>
      </c>
      <c r="D39" s="78">
        <v>887194</v>
      </c>
    </row>
    <row r="40" spans="2:7" x14ac:dyDescent="0.2">
      <c r="B40" s="77" t="s">
        <v>160</v>
      </c>
      <c r="C40" s="77" t="s">
        <v>78</v>
      </c>
      <c r="D40" s="79">
        <v>87744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19.774658067160669</v>
      </c>
    </row>
    <row r="44" spans="2:7" ht="15" x14ac:dyDescent="0.2"/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B47F-5C97-4046-97BF-90269EBFBBAE}">
  <sheetPr codeName="Sheet15"/>
  <dimension ref="B3:Q45"/>
  <sheetViews>
    <sheetView topLeftCell="A4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5" customWidth="1"/>
    <col min="8" max="8" width="14" customWidth="1"/>
    <col min="12" max="12" width="15.1640625" customWidth="1"/>
    <col min="16" max="16" width="41" customWidth="1"/>
  </cols>
  <sheetData>
    <row r="3" spans="2:17" ht="15" customHeight="1" x14ac:dyDescent="0.2">
      <c r="B3" s="182" t="s">
        <v>154</v>
      </c>
      <c r="C3" s="181" t="s">
        <v>151</v>
      </c>
      <c r="D3" s="181"/>
      <c r="E3" s="181"/>
      <c r="F3" s="181"/>
      <c r="G3" s="181" t="s">
        <v>152</v>
      </c>
      <c r="H3" s="181"/>
      <c r="I3" s="181"/>
      <c r="J3" s="181"/>
      <c r="K3" s="181" t="s">
        <v>153</v>
      </c>
      <c r="L3" s="181"/>
      <c r="M3" s="181"/>
      <c r="N3" s="181"/>
    </row>
    <row r="4" spans="2:17" ht="15" customHeight="1" x14ac:dyDescent="0.2">
      <c r="B4" s="183"/>
      <c r="C4" s="8" t="s">
        <v>148</v>
      </c>
      <c r="D4" s="8" t="s">
        <v>149</v>
      </c>
      <c r="E4" s="8" t="s">
        <v>150</v>
      </c>
      <c r="F4" s="8" t="s">
        <v>55</v>
      </c>
      <c r="G4" s="8" t="s">
        <v>148</v>
      </c>
      <c r="H4" s="8" t="s">
        <v>149</v>
      </c>
      <c r="I4" s="8" t="s">
        <v>150</v>
      </c>
      <c r="J4" s="8" t="s">
        <v>55</v>
      </c>
      <c r="K4" s="8" t="s">
        <v>148</v>
      </c>
      <c r="L4" s="8" t="s">
        <v>149</v>
      </c>
      <c r="M4" s="8" t="s">
        <v>150</v>
      </c>
      <c r="N4" s="8" t="s">
        <v>55</v>
      </c>
    </row>
    <row r="5" spans="2:17" ht="34" x14ac:dyDescent="0.2">
      <c r="B5" s="9" t="s">
        <v>80</v>
      </c>
      <c r="C5" s="8"/>
      <c r="D5" s="8"/>
      <c r="E5" s="8"/>
      <c r="F5" s="8">
        <f>C5+D5+E5</f>
        <v>0</v>
      </c>
      <c r="G5" s="8"/>
      <c r="H5" s="8"/>
      <c r="I5" s="8"/>
      <c r="J5" s="8">
        <f>G5+H5+I5</f>
        <v>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148</v>
      </c>
    </row>
    <row r="6" spans="2:17" ht="17" x14ac:dyDescent="0.2">
      <c r="B6" s="9" t="s">
        <v>57</v>
      </c>
      <c r="C6" s="8"/>
      <c r="D6" s="8"/>
      <c r="E6" s="8"/>
      <c r="F6" s="8">
        <f t="shared" ref="F6:F19" si="0">C6+D6+E6</f>
        <v>0</v>
      </c>
      <c r="G6" s="8">
        <v>18</v>
      </c>
      <c r="H6" s="8">
        <v>2</v>
      </c>
      <c r="I6" s="8">
        <v>4</v>
      </c>
      <c r="J6" s="8">
        <f t="shared" ref="J6:J19" si="1">G6+H6+I6</f>
        <v>24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97</v>
      </c>
    </row>
    <row r="7" spans="2:17" ht="17" x14ac:dyDescent="0.2">
      <c r="B7" s="9" t="s">
        <v>61</v>
      </c>
      <c r="C7" s="8"/>
      <c r="D7" s="8"/>
      <c r="E7" s="8"/>
      <c r="F7" s="8">
        <f t="shared" si="0"/>
        <v>0</v>
      </c>
      <c r="G7" s="8">
        <v>11</v>
      </c>
      <c r="H7" s="8">
        <v>4</v>
      </c>
      <c r="I7" s="8">
        <v>11</v>
      </c>
      <c r="J7" s="8">
        <f t="shared" si="1"/>
        <v>26</v>
      </c>
      <c r="K7" s="8">
        <v>3</v>
      </c>
      <c r="L7" s="8"/>
      <c r="M7" s="8">
        <v>1</v>
      </c>
      <c r="N7" s="8">
        <f t="shared" si="2"/>
        <v>4</v>
      </c>
      <c r="P7" s="10" t="s">
        <v>167</v>
      </c>
      <c r="Q7" s="8">
        <f>D20+H20+L20</f>
        <v>21</v>
      </c>
    </row>
    <row r="8" spans="2:17" ht="17" x14ac:dyDescent="0.2">
      <c r="B8" s="9" t="s">
        <v>66</v>
      </c>
      <c r="C8" s="8"/>
      <c r="D8" s="8"/>
      <c r="E8" s="8"/>
      <c r="F8" s="8">
        <f t="shared" si="0"/>
        <v>0</v>
      </c>
      <c r="G8" s="8">
        <v>12</v>
      </c>
      <c r="H8" s="8">
        <v>2</v>
      </c>
      <c r="I8" s="8">
        <v>5</v>
      </c>
      <c r="J8" s="8">
        <f t="shared" si="1"/>
        <v>19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30</v>
      </c>
    </row>
    <row r="9" spans="2:17" ht="17" x14ac:dyDescent="0.2">
      <c r="B9" s="9" t="s">
        <v>109</v>
      </c>
      <c r="C9" s="8"/>
      <c r="D9" s="8"/>
      <c r="E9" s="8"/>
      <c r="F9" s="8">
        <f t="shared" si="0"/>
        <v>0</v>
      </c>
      <c r="G9" s="8">
        <v>49</v>
      </c>
      <c r="H9" s="8">
        <v>13</v>
      </c>
      <c r="I9" s="8">
        <v>8</v>
      </c>
      <c r="J9" s="8">
        <f t="shared" si="1"/>
        <v>70</v>
      </c>
      <c r="K9" s="8">
        <v>2</v>
      </c>
      <c r="L9" s="8"/>
      <c r="M9" s="8">
        <v>1</v>
      </c>
      <c r="N9" s="8">
        <f t="shared" si="2"/>
        <v>3</v>
      </c>
      <c r="P9" s="10" t="s">
        <v>169</v>
      </c>
      <c r="Q9" s="8">
        <f>Q6+(0.5*Q7)</f>
        <v>107.5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0.72635135135135132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90</v>
      </c>
      <c r="H20" s="75">
        <f t="shared" si="3"/>
        <v>21</v>
      </c>
      <c r="I20" s="75">
        <f t="shared" si="3"/>
        <v>28</v>
      </c>
      <c r="J20" s="75">
        <f t="shared" si="3"/>
        <v>139</v>
      </c>
      <c r="K20" s="75">
        <f t="shared" si="3"/>
        <v>7</v>
      </c>
      <c r="L20" s="75">
        <f t="shared" si="3"/>
        <v>0</v>
      </c>
      <c r="M20" s="75">
        <f t="shared" si="3"/>
        <v>2</v>
      </c>
      <c r="N20" s="75">
        <f t="shared" si="3"/>
        <v>9</v>
      </c>
    </row>
    <row r="24" spans="2:17" ht="30" customHeight="1" x14ac:dyDescent="0.2">
      <c r="B24" s="182" t="s">
        <v>155</v>
      </c>
      <c r="C24" s="181" t="s">
        <v>151</v>
      </c>
      <c r="D24" s="181"/>
      <c r="E24" s="181"/>
      <c r="F24" s="181"/>
      <c r="G24" s="181" t="s">
        <v>152</v>
      </c>
      <c r="H24" s="181"/>
      <c r="I24" s="181"/>
      <c r="J24" s="181"/>
      <c r="K24" s="181" t="s">
        <v>153</v>
      </c>
      <c r="L24" s="181"/>
      <c r="M24" s="181"/>
      <c r="N24" s="181"/>
      <c r="P24" s="10" t="s">
        <v>53</v>
      </c>
      <c r="Q24" s="8">
        <f>F32+J32+N32</f>
        <v>117</v>
      </c>
    </row>
    <row r="25" spans="2:17" ht="30" customHeight="1" x14ac:dyDescent="0.2">
      <c r="B25" s="183"/>
      <c r="C25" s="8" t="s">
        <v>148</v>
      </c>
      <c r="D25" s="8" t="s">
        <v>149</v>
      </c>
      <c r="E25" s="8" t="s">
        <v>150</v>
      </c>
      <c r="F25" s="8" t="s">
        <v>55</v>
      </c>
      <c r="G25" s="8" t="s">
        <v>148</v>
      </c>
      <c r="H25" s="8" t="s">
        <v>149</v>
      </c>
      <c r="I25" s="8" t="s">
        <v>150</v>
      </c>
      <c r="J25" s="8" t="s">
        <v>55</v>
      </c>
      <c r="K25" s="8" t="s">
        <v>148</v>
      </c>
      <c r="L25" s="8" t="s">
        <v>149</v>
      </c>
      <c r="M25" s="8" t="s">
        <v>150</v>
      </c>
      <c r="N25" s="8" t="s">
        <v>55</v>
      </c>
      <c r="P25" s="10" t="s">
        <v>148</v>
      </c>
      <c r="Q25" s="8">
        <f>C32+G32+K32</f>
        <v>83</v>
      </c>
    </row>
    <row r="26" spans="2:17" ht="17" x14ac:dyDescent="0.2">
      <c r="B26" s="9" t="s">
        <v>58</v>
      </c>
      <c r="C26" s="8"/>
      <c r="D26" s="8"/>
      <c r="E26" s="8"/>
      <c r="F26" s="8">
        <f>C26+D26+E26</f>
        <v>0</v>
      </c>
      <c r="G26" s="8">
        <v>29</v>
      </c>
      <c r="H26" s="8">
        <v>4</v>
      </c>
      <c r="I26" s="8">
        <v>13</v>
      </c>
      <c r="J26" s="8">
        <f>G26+H26+I26</f>
        <v>46</v>
      </c>
      <c r="K26" s="8">
        <v>2</v>
      </c>
      <c r="L26" s="8"/>
      <c r="M26" s="8">
        <v>1</v>
      </c>
      <c r="N26" s="8">
        <f>K26+L26+M26</f>
        <v>3</v>
      </c>
      <c r="P26" s="10" t="s">
        <v>167</v>
      </c>
      <c r="Q26" s="8">
        <f>D32+H32+L32</f>
        <v>6</v>
      </c>
    </row>
    <row r="27" spans="2:17" ht="17" x14ac:dyDescent="0.2">
      <c r="B27" s="9" t="s">
        <v>87</v>
      </c>
      <c r="C27" s="8"/>
      <c r="D27" s="8"/>
      <c r="E27" s="8"/>
      <c r="F27" s="8">
        <f t="shared" ref="F27:F31" si="4">C27+D27+E27</f>
        <v>0</v>
      </c>
      <c r="G27" s="8">
        <v>23</v>
      </c>
      <c r="H27" s="8">
        <v>1</v>
      </c>
      <c r="I27" s="8">
        <v>4</v>
      </c>
      <c r="J27" s="8">
        <f t="shared" ref="J27:J31" si="5">G27+H27+I27</f>
        <v>28</v>
      </c>
      <c r="K27" s="8">
        <v>1</v>
      </c>
      <c r="L27" s="8"/>
      <c r="M27" s="8"/>
      <c r="N27" s="8">
        <f t="shared" ref="N27:N31" si="6">K27+L27+M27</f>
        <v>1</v>
      </c>
      <c r="P27" s="10" t="s">
        <v>168</v>
      </c>
      <c r="Q27" s="8">
        <f>E32+I32+M32</f>
        <v>28</v>
      </c>
    </row>
    <row r="28" spans="2:17" ht="17" x14ac:dyDescent="0.2">
      <c r="B28" s="9" t="s">
        <v>95</v>
      </c>
      <c r="C28" s="8"/>
      <c r="D28" s="8"/>
      <c r="E28" s="8"/>
      <c r="F28" s="8">
        <f t="shared" si="4"/>
        <v>0</v>
      </c>
      <c r="G28" s="8">
        <v>16</v>
      </c>
      <c r="H28" s="8">
        <v>1</v>
      </c>
      <c r="I28" s="8">
        <v>6</v>
      </c>
      <c r="J28" s="8">
        <f t="shared" si="5"/>
        <v>23</v>
      </c>
      <c r="K28" s="8">
        <v>1</v>
      </c>
      <c r="L28" s="8"/>
      <c r="M28" s="8"/>
      <c r="N28" s="8">
        <f t="shared" si="6"/>
        <v>1</v>
      </c>
      <c r="P28" s="10" t="s">
        <v>169</v>
      </c>
      <c r="Q28" s="8">
        <f t="shared" ref="Q28" si="7">Q25+(0.5*Q26)</f>
        <v>86</v>
      </c>
    </row>
    <row r="29" spans="2:17" ht="15" x14ac:dyDescent="0.2">
      <c r="B29" s="9" t="s">
        <v>70</v>
      </c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0.7350427350427351</v>
      </c>
    </row>
    <row r="30" spans="2:17" ht="15" x14ac:dyDescent="0.2">
      <c r="B30" s="9" t="s">
        <v>69</v>
      </c>
      <c r="C30" s="8"/>
      <c r="D30" s="8"/>
      <c r="E30" s="8"/>
      <c r="F30" s="8">
        <f t="shared" si="4"/>
        <v>0</v>
      </c>
      <c r="G30" s="8">
        <v>9</v>
      </c>
      <c r="H30" s="8"/>
      <c r="I30" s="8">
        <v>4</v>
      </c>
      <c r="J30" s="8">
        <f t="shared" si="5"/>
        <v>13</v>
      </c>
      <c r="K30" s="8">
        <v>2</v>
      </c>
      <c r="L30" s="8"/>
      <c r="M30" s="8"/>
      <c r="N30" s="8">
        <f t="shared" si="6"/>
        <v>2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77</v>
      </c>
      <c r="H32" s="75">
        <f t="shared" si="9"/>
        <v>6</v>
      </c>
      <c r="I32" s="75">
        <f t="shared" si="9"/>
        <v>27</v>
      </c>
      <c r="J32" s="75">
        <f t="shared" si="9"/>
        <v>110</v>
      </c>
      <c r="K32" s="75">
        <f t="shared" si="9"/>
        <v>6</v>
      </c>
      <c r="L32" s="75">
        <f t="shared" si="9"/>
        <v>0</v>
      </c>
      <c r="M32" s="75">
        <f t="shared" si="9"/>
        <v>1</v>
      </c>
      <c r="N32" s="75">
        <f t="shared" si="9"/>
        <v>7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6542</v>
      </c>
    </row>
    <row r="39" spans="2:7" x14ac:dyDescent="0.2">
      <c r="B39" s="77" t="s">
        <v>159</v>
      </c>
      <c r="C39" s="77" t="s">
        <v>77</v>
      </c>
      <c r="D39" s="78">
        <v>5692</v>
      </c>
    </row>
    <row r="40" spans="2:7" x14ac:dyDescent="0.2">
      <c r="B40" s="77" t="s">
        <v>160</v>
      </c>
      <c r="C40" s="77" t="s">
        <v>78</v>
      </c>
      <c r="D40" s="79">
        <v>850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12.424218787682422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2260-6E0F-3143-8DA8-750732B424E4}">
  <sheetPr codeName="Sheet16"/>
  <dimension ref="B3:Q45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33203125" customWidth="1"/>
    <col min="8" max="8" width="15" customWidth="1"/>
    <col min="12" max="12" width="15.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80</v>
      </c>
      <c r="C5" s="8">
        <v>1</v>
      </c>
      <c r="D5" s="8"/>
      <c r="E5" s="8"/>
      <c r="F5" s="8">
        <f>C5+D5+E5</f>
        <v>1</v>
      </c>
      <c r="G5" s="8"/>
      <c r="H5" s="8"/>
      <c r="I5" s="8"/>
      <c r="J5" s="8">
        <f>G5+H5+I5</f>
        <v>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349</v>
      </c>
    </row>
    <row r="6" spans="2:17" ht="17" x14ac:dyDescent="0.2">
      <c r="B6" s="9" t="s">
        <v>91</v>
      </c>
      <c r="C6" s="8"/>
      <c r="D6" s="8"/>
      <c r="E6" s="8"/>
      <c r="F6" s="8">
        <f t="shared" ref="F6:F19" si="0">C6+D6+E6</f>
        <v>0</v>
      </c>
      <c r="G6" s="8">
        <v>11</v>
      </c>
      <c r="H6" s="8">
        <v>3</v>
      </c>
      <c r="I6" s="8">
        <v>4</v>
      </c>
      <c r="J6" s="8">
        <f t="shared" ref="J6:J19" si="1">G6+H6+I6</f>
        <v>18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258</v>
      </c>
    </row>
    <row r="7" spans="2:17" ht="17" x14ac:dyDescent="0.2">
      <c r="B7" s="9" t="s">
        <v>92</v>
      </c>
      <c r="C7" s="8"/>
      <c r="D7" s="8"/>
      <c r="E7" s="8"/>
      <c r="F7" s="8">
        <f t="shared" si="0"/>
        <v>0</v>
      </c>
      <c r="G7" s="8">
        <v>12</v>
      </c>
      <c r="H7" s="8">
        <v>5</v>
      </c>
      <c r="I7" s="8">
        <v>2</v>
      </c>
      <c r="J7" s="8">
        <f t="shared" si="1"/>
        <v>19</v>
      </c>
      <c r="K7" s="8">
        <v>2</v>
      </c>
      <c r="L7" s="8"/>
      <c r="M7" s="8"/>
      <c r="N7" s="8">
        <f t="shared" si="2"/>
        <v>2</v>
      </c>
      <c r="P7" s="10" t="s">
        <v>167</v>
      </c>
      <c r="Q7" s="8">
        <f>D20+H20+L20</f>
        <v>44</v>
      </c>
    </row>
    <row r="8" spans="2:17" ht="17" x14ac:dyDescent="0.2">
      <c r="B8" s="9" t="s">
        <v>57</v>
      </c>
      <c r="C8" s="8"/>
      <c r="D8" s="8"/>
      <c r="E8" s="8"/>
      <c r="F8" s="8">
        <f t="shared" si="0"/>
        <v>0</v>
      </c>
      <c r="G8" s="8">
        <v>15</v>
      </c>
      <c r="H8" s="8">
        <v>2</v>
      </c>
      <c r="I8" s="8">
        <v>3</v>
      </c>
      <c r="J8" s="8">
        <f t="shared" si="1"/>
        <v>20</v>
      </c>
      <c r="K8" s="8">
        <v>2</v>
      </c>
      <c r="L8" s="8"/>
      <c r="M8" s="8"/>
      <c r="N8" s="8">
        <f t="shared" si="2"/>
        <v>2</v>
      </c>
      <c r="P8" s="10" t="s">
        <v>168</v>
      </c>
      <c r="Q8" s="8">
        <f>E20+I20+M20</f>
        <v>47</v>
      </c>
    </row>
    <row r="9" spans="2:17" ht="17" x14ac:dyDescent="0.2">
      <c r="B9" s="9" t="s">
        <v>61</v>
      </c>
      <c r="C9" s="8"/>
      <c r="D9" s="8"/>
      <c r="E9" s="8"/>
      <c r="F9" s="8">
        <f t="shared" si="0"/>
        <v>0</v>
      </c>
      <c r="G9" s="8">
        <v>19</v>
      </c>
      <c r="H9" s="8">
        <v>1</v>
      </c>
      <c r="I9" s="8">
        <v>2</v>
      </c>
      <c r="J9" s="8">
        <f t="shared" si="1"/>
        <v>22</v>
      </c>
      <c r="K9" s="8">
        <v>3</v>
      </c>
      <c r="L9" s="8"/>
      <c r="M9" s="8"/>
      <c r="N9" s="8">
        <f t="shared" si="2"/>
        <v>3</v>
      </c>
      <c r="P9" s="10" t="s">
        <v>169</v>
      </c>
      <c r="Q9" s="8">
        <f>Q6+(0.5*Q7)</f>
        <v>280</v>
      </c>
    </row>
    <row r="10" spans="2:17" ht="15" x14ac:dyDescent="0.2">
      <c r="B10" s="9" t="s">
        <v>66</v>
      </c>
      <c r="C10" s="8">
        <v>1</v>
      </c>
      <c r="D10" s="8">
        <v>1</v>
      </c>
      <c r="E10" s="8">
        <v>1</v>
      </c>
      <c r="F10" s="8">
        <f t="shared" si="0"/>
        <v>3</v>
      </c>
      <c r="G10" s="8">
        <v>18</v>
      </c>
      <c r="H10" s="8">
        <v>4</v>
      </c>
      <c r="I10" s="8">
        <v>1</v>
      </c>
      <c r="J10" s="8">
        <f t="shared" si="1"/>
        <v>23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0.80229226361031514</v>
      </c>
    </row>
    <row r="11" spans="2:17" ht="15" x14ac:dyDescent="0.2">
      <c r="B11" s="9" t="s">
        <v>59</v>
      </c>
      <c r="C11" s="8"/>
      <c r="D11" s="8"/>
      <c r="E11" s="8"/>
      <c r="F11" s="8">
        <f t="shared" si="0"/>
        <v>0</v>
      </c>
      <c r="G11" s="8">
        <v>53</v>
      </c>
      <c r="H11" s="8">
        <v>8</v>
      </c>
      <c r="I11" s="8">
        <v>13</v>
      </c>
      <c r="J11" s="8">
        <f t="shared" si="1"/>
        <v>74</v>
      </c>
      <c r="K11" s="8">
        <v>3</v>
      </c>
      <c r="L11" s="8">
        <v>1</v>
      </c>
      <c r="M11" s="8"/>
      <c r="N11" s="8">
        <f t="shared" si="2"/>
        <v>4</v>
      </c>
    </row>
    <row r="12" spans="2:17" ht="15" x14ac:dyDescent="0.2">
      <c r="B12" s="9" t="s">
        <v>82</v>
      </c>
      <c r="C12" s="8">
        <v>1</v>
      </c>
      <c r="D12" s="8">
        <v>1</v>
      </c>
      <c r="E12" s="8"/>
      <c r="F12" s="8">
        <f t="shared" si="0"/>
        <v>2</v>
      </c>
      <c r="G12" s="8">
        <v>10</v>
      </c>
      <c r="H12" s="8"/>
      <c r="I12" s="8">
        <v>2</v>
      </c>
      <c r="J12" s="8">
        <f t="shared" si="1"/>
        <v>12</v>
      </c>
      <c r="K12" s="8">
        <v>3</v>
      </c>
      <c r="L12" s="8">
        <v>1</v>
      </c>
      <c r="M12" s="8"/>
      <c r="N12" s="8">
        <f t="shared" si="2"/>
        <v>4</v>
      </c>
    </row>
    <row r="13" spans="2:17" ht="15" x14ac:dyDescent="0.2">
      <c r="B13" s="9" t="s">
        <v>62</v>
      </c>
      <c r="C13" s="8"/>
      <c r="D13" s="8"/>
      <c r="E13" s="8"/>
      <c r="F13" s="8">
        <f t="shared" si="0"/>
        <v>0</v>
      </c>
      <c r="G13" s="8">
        <v>5</v>
      </c>
      <c r="H13" s="8">
        <v>8</v>
      </c>
      <c r="I13" s="8">
        <v>5</v>
      </c>
      <c r="J13" s="8">
        <f t="shared" si="1"/>
        <v>18</v>
      </c>
      <c r="K13" s="8">
        <v>1</v>
      </c>
      <c r="L13" s="8"/>
      <c r="M13" s="8"/>
      <c r="N13" s="8">
        <f t="shared" si="2"/>
        <v>1</v>
      </c>
    </row>
    <row r="14" spans="2:17" ht="15" x14ac:dyDescent="0.2">
      <c r="B14" s="9" t="s">
        <v>64</v>
      </c>
      <c r="C14" s="8">
        <v>5</v>
      </c>
      <c r="D14" s="8"/>
      <c r="E14" s="8"/>
      <c r="F14" s="8">
        <f t="shared" si="0"/>
        <v>5</v>
      </c>
      <c r="G14" s="8">
        <v>54</v>
      </c>
      <c r="H14" s="8">
        <v>7</v>
      </c>
      <c r="I14" s="8">
        <v>12</v>
      </c>
      <c r="J14" s="8">
        <f t="shared" si="1"/>
        <v>73</v>
      </c>
      <c r="K14" s="8">
        <v>3</v>
      </c>
      <c r="L14" s="8">
        <v>1</v>
      </c>
      <c r="M14" s="8"/>
      <c r="N14" s="8">
        <f t="shared" si="2"/>
        <v>4</v>
      </c>
    </row>
    <row r="15" spans="2:17" ht="15" x14ac:dyDescent="0.2">
      <c r="B15" s="9" t="s">
        <v>96</v>
      </c>
      <c r="C15" s="8">
        <v>1</v>
      </c>
      <c r="D15" s="8"/>
      <c r="E15" s="8"/>
      <c r="F15" s="8">
        <f t="shared" si="0"/>
        <v>1</v>
      </c>
      <c r="G15" s="8">
        <v>33</v>
      </c>
      <c r="H15" s="8">
        <v>1</v>
      </c>
      <c r="I15" s="8">
        <v>2</v>
      </c>
      <c r="J15" s="8">
        <f t="shared" si="1"/>
        <v>36</v>
      </c>
      <c r="K15" s="8">
        <v>2</v>
      </c>
      <c r="L15" s="8"/>
      <c r="M15" s="8"/>
      <c r="N15" s="8">
        <f t="shared" si="2"/>
        <v>2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9</v>
      </c>
      <c r="D20" s="75">
        <f t="shared" si="3"/>
        <v>2</v>
      </c>
      <c r="E20" s="75">
        <f t="shared" si="3"/>
        <v>1</v>
      </c>
      <c r="F20" s="75">
        <f t="shared" si="3"/>
        <v>12</v>
      </c>
      <c r="G20" s="75">
        <f t="shared" si="3"/>
        <v>230</v>
      </c>
      <c r="H20" s="75">
        <f t="shared" si="3"/>
        <v>39</v>
      </c>
      <c r="I20" s="75">
        <f t="shared" si="3"/>
        <v>46</v>
      </c>
      <c r="J20" s="75">
        <f t="shared" si="3"/>
        <v>315</v>
      </c>
      <c r="K20" s="75">
        <f t="shared" si="3"/>
        <v>19</v>
      </c>
      <c r="L20" s="75">
        <f t="shared" si="3"/>
        <v>3</v>
      </c>
      <c r="M20" s="75">
        <f t="shared" si="3"/>
        <v>0</v>
      </c>
      <c r="N20" s="75">
        <f t="shared" si="3"/>
        <v>22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62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50</v>
      </c>
    </row>
    <row r="26" spans="2:17" ht="17" x14ac:dyDescent="0.2">
      <c r="B26" s="9" t="s">
        <v>110</v>
      </c>
      <c r="C26" s="8"/>
      <c r="D26" s="8"/>
      <c r="E26" s="8"/>
      <c r="F26" s="8">
        <f>C26+D26+E26</f>
        <v>0</v>
      </c>
      <c r="G26" s="8">
        <v>12</v>
      </c>
      <c r="H26" s="8">
        <v>1</v>
      </c>
      <c r="I26" s="8">
        <v>5</v>
      </c>
      <c r="J26" s="8">
        <f>G26+H26+I26</f>
        <v>18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3</v>
      </c>
    </row>
    <row r="27" spans="2:17" ht="17" x14ac:dyDescent="0.2">
      <c r="B27" s="9" t="s">
        <v>95</v>
      </c>
      <c r="C27" s="8"/>
      <c r="D27" s="8"/>
      <c r="E27" s="8"/>
      <c r="F27" s="8">
        <f t="shared" ref="F27:F30" si="4">C27+D27+E27</f>
        <v>0</v>
      </c>
      <c r="G27" s="8">
        <v>21</v>
      </c>
      <c r="H27" s="8"/>
      <c r="I27" s="8">
        <v>4</v>
      </c>
      <c r="J27" s="8">
        <f t="shared" ref="J27:J30" si="5">G27+H27+I27</f>
        <v>25</v>
      </c>
      <c r="K27" s="8">
        <v>1</v>
      </c>
      <c r="L27" s="8"/>
      <c r="M27" s="8"/>
      <c r="N27" s="8">
        <f t="shared" ref="N27:N30" si="6">K27+L27+M27</f>
        <v>1</v>
      </c>
      <c r="P27" s="10" t="s">
        <v>168</v>
      </c>
      <c r="Q27" s="8">
        <f>E32+I32+M32</f>
        <v>9</v>
      </c>
    </row>
    <row r="28" spans="2:17" ht="17" x14ac:dyDescent="0.2">
      <c r="B28" s="9" t="s">
        <v>84</v>
      </c>
      <c r="C28" s="8"/>
      <c r="D28" s="8"/>
      <c r="E28" s="8"/>
      <c r="F28" s="8">
        <f t="shared" si="4"/>
        <v>0</v>
      </c>
      <c r="G28" s="8">
        <v>10</v>
      </c>
      <c r="H28" s="8">
        <v>1</v>
      </c>
      <c r="I28" s="8"/>
      <c r="J28" s="8">
        <f t="shared" si="5"/>
        <v>11</v>
      </c>
      <c r="K28" s="8">
        <v>2</v>
      </c>
      <c r="L28" s="8"/>
      <c r="M28" s="8"/>
      <c r="N28" s="8">
        <f t="shared" si="6"/>
        <v>2</v>
      </c>
      <c r="P28" s="10" t="s">
        <v>169</v>
      </c>
      <c r="Q28" s="8">
        <f t="shared" ref="Q28" si="7">Q25+(0.5*Q26)</f>
        <v>51.5</v>
      </c>
    </row>
    <row r="29" spans="2:17" ht="15" x14ac:dyDescent="0.2">
      <c r="B29" s="9" t="s">
        <v>111</v>
      </c>
      <c r="C29" s="8"/>
      <c r="D29" s="8"/>
      <c r="E29" s="8"/>
      <c r="F29" s="8">
        <f t="shared" si="4"/>
        <v>0</v>
      </c>
      <c r="G29" s="8">
        <v>4</v>
      </c>
      <c r="H29" s="8">
        <v>1</v>
      </c>
      <c r="I29" s="8"/>
      <c r="J29" s="8">
        <f t="shared" si="5"/>
        <v>5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0.83064516129032262</v>
      </c>
    </row>
    <row r="30" spans="2:17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x14ac:dyDescent="0.2">
      <c r="B31" s="49"/>
      <c r="C31" s="50"/>
      <c r="D31" s="50"/>
      <c r="E31" s="50"/>
      <c r="F31" s="50">
        <f>C31+D31+E31</f>
        <v>0</v>
      </c>
      <c r="G31" s="50"/>
      <c r="H31" s="50"/>
      <c r="I31" s="50"/>
      <c r="J31" s="50">
        <f>G31+H31+I31</f>
        <v>0</v>
      </c>
      <c r="K31" s="50"/>
      <c r="L31" s="50"/>
      <c r="M31" s="50"/>
      <c r="N31" s="50">
        <f>K31+L31+M31</f>
        <v>0</v>
      </c>
    </row>
    <row r="32" spans="2:17" x14ac:dyDescent="0.2">
      <c r="B32" s="75" t="s">
        <v>165</v>
      </c>
      <c r="C32" s="75">
        <f t="shared" ref="C32:N32" si="9">SUM(C26:C31)</f>
        <v>0</v>
      </c>
      <c r="D32" s="75">
        <f t="shared" si="9"/>
        <v>0</v>
      </c>
      <c r="E32" s="75">
        <f t="shared" si="9"/>
        <v>0</v>
      </c>
      <c r="F32" s="75">
        <f t="shared" si="9"/>
        <v>0</v>
      </c>
      <c r="G32" s="75">
        <f t="shared" si="9"/>
        <v>47</v>
      </c>
      <c r="H32" s="75">
        <f t="shared" si="9"/>
        <v>3</v>
      </c>
      <c r="I32" s="75">
        <f t="shared" si="9"/>
        <v>9</v>
      </c>
      <c r="J32" s="75">
        <f t="shared" si="9"/>
        <v>59</v>
      </c>
      <c r="K32" s="75">
        <f t="shared" si="9"/>
        <v>3</v>
      </c>
      <c r="L32" s="75">
        <f t="shared" si="9"/>
        <v>0</v>
      </c>
      <c r="M32" s="75">
        <f t="shared" si="9"/>
        <v>0</v>
      </c>
      <c r="N32" s="75">
        <f t="shared" si="9"/>
        <v>3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288463</v>
      </c>
    </row>
    <row r="39" spans="2:7" x14ac:dyDescent="0.2">
      <c r="B39" s="77" t="s">
        <v>159</v>
      </c>
      <c r="C39" s="77" t="s">
        <v>77</v>
      </c>
      <c r="D39" s="78">
        <v>268271</v>
      </c>
    </row>
    <row r="40" spans="2:7" x14ac:dyDescent="0.2">
      <c r="B40" s="77" t="s">
        <v>160</v>
      </c>
      <c r="C40" s="77" t="s">
        <v>78</v>
      </c>
      <c r="D40" s="79">
        <v>20192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18.079137339326735</v>
      </c>
    </row>
    <row r="44" spans="2:7" ht="15" x14ac:dyDescent="0.2"/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22F5-FB7B-6147-99C0-3887195DD2AF}">
  <sheetPr codeName="Sheet17"/>
  <dimension ref="B3:Q44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83203125" customWidth="1"/>
    <col min="8" max="8" width="14.83203125" customWidth="1"/>
    <col min="12" max="12" width="14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91</v>
      </c>
      <c r="C5" s="8"/>
      <c r="D5" s="8">
        <v>1</v>
      </c>
      <c r="E5" s="8"/>
      <c r="F5" s="8">
        <f>C5+D5+E5</f>
        <v>1</v>
      </c>
      <c r="G5" s="8">
        <v>7</v>
      </c>
      <c r="H5" s="8">
        <v>6</v>
      </c>
      <c r="I5" s="8">
        <v>6</v>
      </c>
      <c r="J5" s="8">
        <f>G5+H5+I5</f>
        <v>19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140</v>
      </c>
    </row>
    <row r="6" spans="2:17" ht="17" x14ac:dyDescent="0.2">
      <c r="B6" s="9" t="s">
        <v>57</v>
      </c>
      <c r="C6" s="8"/>
      <c r="D6" s="8"/>
      <c r="E6" s="8"/>
      <c r="F6" s="8">
        <f t="shared" ref="F6:F19" si="0">C6+D6+E6</f>
        <v>0</v>
      </c>
      <c r="G6" s="8">
        <v>12</v>
      </c>
      <c r="H6" s="8">
        <v>5</v>
      </c>
      <c r="I6" s="8">
        <v>4</v>
      </c>
      <c r="J6" s="8">
        <f t="shared" ref="J6:J19" si="1">G6+H6+I6</f>
        <v>21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76</v>
      </c>
    </row>
    <row r="7" spans="2:17" ht="17" x14ac:dyDescent="0.2">
      <c r="B7" s="9" t="s">
        <v>95</v>
      </c>
      <c r="C7" s="8"/>
      <c r="D7" s="8"/>
      <c r="E7" s="8"/>
      <c r="F7" s="8">
        <f t="shared" si="0"/>
        <v>0</v>
      </c>
      <c r="G7" s="8">
        <v>15</v>
      </c>
      <c r="H7" s="8">
        <v>1</v>
      </c>
      <c r="I7" s="8">
        <v>4</v>
      </c>
      <c r="J7" s="8">
        <f t="shared" si="1"/>
        <v>20</v>
      </c>
      <c r="K7" s="8">
        <v>1</v>
      </c>
      <c r="L7" s="8"/>
      <c r="M7" s="8"/>
      <c r="N7" s="8">
        <f t="shared" si="2"/>
        <v>1</v>
      </c>
      <c r="P7" s="10" t="s">
        <v>167</v>
      </c>
      <c r="Q7" s="8">
        <f>D20+H20+L20</f>
        <v>26</v>
      </c>
    </row>
    <row r="8" spans="2:17" ht="17" x14ac:dyDescent="0.2">
      <c r="B8" s="9" t="s">
        <v>112</v>
      </c>
      <c r="C8" s="8"/>
      <c r="D8" s="8"/>
      <c r="E8" s="8">
        <v>1</v>
      </c>
      <c r="F8" s="8">
        <f t="shared" si="0"/>
        <v>1</v>
      </c>
      <c r="G8" s="8">
        <v>1</v>
      </c>
      <c r="H8" s="8">
        <v>2</v>
      </c>
      <c r="I8" s="8">
        <v>2</v>
      </c>
      <c r="J8" s="8">
        <f t="shared" si="1"/>
        <v>5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38</v>
      </c>
    </row>
    <row r="9" spans="2:17" ht="17" x14ac:dyDescent="0.2">
      <c r="B9" s="9" t="s">
        <v>66</v>
      </c>
      <c r="C9" s="8"/>
      <c r="D9" s="8"/>
      <c r="E9" s="8"/>
      <c r="F9" s="8">
        <f t="shared" si="0"/>
        <v>0</v>
      </c>
      <c r="G9" s="8">
        <v>6</v>
      </c>
      <c r="H9" s="8">
        <v>3</v>
      </c>
      <c r="I9" s="8">
        <v>8</v>
      </c>
      <c r="J9" s="8">
        <f t="shared" si="1"/>
        <v>17</v>
      </c>
      <c r="K9" s="8">
        <v>1</v>
      </c>
      <c r="L9" s="8"/>
      <c r="M9" s="8"/>
      <c r="N9" s="8">
        <f t="shared" si="2"/>
        <v>1</v>
      </c>
      <c r="P9" s="10" t="s">
        <v>169</v>
      </c>
      <c r="Q9" s="8">
        <f>Q6+(0.5*Q7)</f>
        <v>89</v>
      </c>
    </row>
    <row r="10" spans="2:17" ht="15" x14ac:dyDescent="0.2">
      <c r="B10" s="9" t="s">
        <v>59</v>
      </c>
      <c r="C10" s="8"/>
      <c r="D10" s="8"/>
      <c r="E10" s="8"/>
      <c r="F10" s="8">
        <f t="shared" si="0"/>
        <v>0</v>
      </c>
      <c r="G10" s="8">
        <v>30</v>
      </c>
      <c r="H10" s="8">
        <v>8</v>
      </c>
      <c r="I10" s="8">
        <v>11</v>
      </c>
      <c r="J10" s="8">
        <f t="shared" si="1"/>
        <v>49</v>
      </c>
      <c r="K10" s="8">
        <v>1</v>
      </c>
      <c r="L10" s="8"/>
      <c r="M10" s="8">
        <v>2</v>
      </c>
      <c r="N10" s="8">
        <f t="shared" si="2"/>
        <v>3</v>
      </c>
      <c r="P10" s="11" t="s">
        <v>157</v>
      </c>
      <c r="Q10" s="12">
        <f>Q9/Q5</f>
        <v>0.63571428571428568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1</v>
      </c>
      <c r="E20" s="75">
        <f t="shared" si="3"/>
        <v>1</v>
      </c>
      <c r="F20" s="75">
        <f t="shared" si="3"/>
        <v>2</v>
      </c>
      <c r="G20" s="75">
        <f t="shared" si="3"/>
        <v>71</v>
      </c>
      <c r="H20" s="75">
        <f t="shared" si="3"/>
        <v>25</v>
      </c>
      <c r="I20" s="75">
        <f t="shared" si="3"/>
        <v>35</v>
      </c>
      <c r="J20" s="75">
        <f t="shared" si="3"/>
        <v>131</v>
      </c>
      <c r="K20" s="75">
        <f t="shared" si="3"/>
        <v>5</v>
      </c>
      <c r="L20" s="75">
        <f t="shared" si="3"/>
        <v>0</v>
      </c>
      <c r="M20" s="75">
        <f t="shared" si="3"/>
        <v>2</v>
      </c>
      <c r="N20" s="75">
        <f t="shared" si="3"/>
        <v>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56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30</v>
      </c>
    </row>
    <row r="26" spans="2:17" ht="17" x14ac:dyDescent="0.2">
      <c r="B26" s="9" t="s">
        <v>64</v>
      </c>
      <c r="C26" s="8"/>
      <c r="D26" s="8"/>
      <c r="E26" s="8"/>
      <c r="F26" s="8">
        <f>C26+D26+E26</f>
        <v>0</v>
      </c>
      <c r="G26" s="8">
        <v>29</v>
      </c>
      <c r="H26" s="8">
        <v>6</v>
      </c>
      <c r="I26" s="8">
        <v>17</v>
      </c>
      <c r="J26" s="8">
        <f>G26+H26+I26</f>
        <v>52</v>
      </c>
      <c r="K26" s="8">
        <v>1</v>
      </c>
      <c r="L26" s="8">
        <v>1</v>
      </c>
      <c r="M26" s="8">
        <v>2</v>
      </c>
      <c r="N26" s="8">
        <f>K26+L26+M26</f>
        <v>4</v>
      </c>
      <c r="P26" s="10" t="s">
        <v>167</v>
      </c>
      <c r="Q26" s="8">
        <f>D32+H32+L32</f>
        <v>7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19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33.5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0.5982142857142857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29</v>
      </c>
      <c r="H32" s="75">
        <f t="shared" si="9"/>
        <v>6</v>
      </c>
      <c r="I32" s="75">
        <f t="shared" si="9"/>
        <v>17</v>
      </c>
      <c r="J32" s="75">
        <f t="shared" si="9"/>
        <v>52</v>
      </c>
      <c r="K32" s="75">
        <f t="shared" si="9"/>
        <v>1</v>
      </c>
      <c r="L32" s="75">
        <f t="shared" si="9"/>
        <v>1</v>
      </c>
      <c r="M32" s="75">
        <f t="shared" si="9"/>
        <v>2</v>
      </c>
      <c r="N32" s="75">
        <f t="shared" si="9"/>
        <v>4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148</v>
      </c>
    </row>
    <row r="38" spans="2:7" x14ac:dyDescent="0.2">
      <c r="B38" s="77" t="s">
        <v>159</v>
      </c>
      <c r="C38" s="77" t="s">
        <v>77</v>
      </c>
      <c r="D38" s="78">
        <v>108</v>
      </c>
    </row>
    <row r="39" spans="2:7" x14ac:dyDescent="0.2">
      <c r="B39" s="77" t="s">
        <v>160</v>
      </c>
      <c r="C39" s="77" t="s">
        <v>78</v>
      </c>
      <c r="D39" s="79">
        <v>40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6.3715588626119626</v>
      </c>
    </row>
    <row r="44" spans="2:7" ht="15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6861-9269-7D4F-A01C-CE9E4B6561C5}">
  <sheetPr codeName="Sheet18"/>
  <dimension ref="B3:Q45"/>
  <sheetViews>
    <sheetView topLeftCell="A3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1640625" customWidth="1"/>
    <col min="8" max="8" width="14.6640625" customWidth="1"/>
    <col min="12" max="12" width="14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80</v>
      </c>
      <c r="C5" s="8"/>
      <c r="D5" s="8"/>
      <c r="E5" s="8"/>
      <c r="F5" s="8">
        <f>C5+D5+E5</f>
        <v>0</v>
      </c>
      <c r="G5" s="8"/>
      <c r="H5" s="8"/>
      <c r="I5" s="8"/>
      <c r="J5" s="8">
        <f>G5+H5+I5</f>
        <v>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391</v>
      </c>
    </row>
    <row r="6" spans="2:17" ht="17" x14ac:dyDescent="0.2">
      <c r="B6" s="9" t="s">
        <v>75</v>
      </c>
      <c r="C6" s="8"/>
      <c r="D6" s="8"/>
      <c r="E6" s="8"/>
      <c r="F6" s="8">
        <f t="shared" ref="F6:F19" si="0">C6+D6+E6</f>
        <v>0</v>
      </c>
      <c r="G6" s="8">
        <v>20</v>
      </c>
      <c r="H6" s="8">
        <v>8</v>
      </c>
      <c r="I6" s="8">
        <v>5</v>
      </c>
      <c r="J6" s="8">
        <f t="shared" ref="J6:J19" si="1">G6+H6+I6</f>
        <v>33</v>
      </c>
      <c r="K6" s="8">
        <v>1</v>
      </c>
      <c r="L6" s="8">
        <v>1</v>
      </c>
      <c r="M6" s="8"/>
      <c r="N6" s="8">
        <f t="shared" ref="N6:N19" si="2">K6+L6+M6</f>
        <v>2</v>
      </c>
      <c r="P6" s="10" t="s">
        <v>148</v>
      </c>
      <c r="Q6" s="8">
        <f>C20+G20+K20</f>
        <v>257</v>
      </c>
    </row>
    <row r="7" spans="2:17" ht="17" x14ac:dyDescent="0.2">
      <c r="B7" s="9" t="s">
        <v>82</v>
      </c>
      <c r="C7" s="8"/>
      <c r="D7" s="8"/>
      <c r="E7" s="8"/>
      <c r="F7" s="8">
        <f t="shared" si="0"/>
        <v>0</v>
      </c>
      <c r="G7" s="8">
        <v>5</v>
      </c>
      <c r="H7" s="8">
        <v>2</v>
      </c>
      <c r="I7" s="8">
        <v>4</v>
      </c>
      <c r="J7" s="8">
        <f t="shared" si="1"/>
        <v>11</v>
      </c>
      <c r="K7" s="8">
        <v>2</v>
      </c>
      <c r="L7" s="8">
        <v>2</v>
      </c>
      <c r="M7" s="8">
        <v>2</v>
      </c>
      <c r="N7" s="8">
        <f t="shared" si="2"/>
        <v>6</v>
      </c>
      <c r="P7" s="10" t="s">
        <v>167</v>
      </c>
      <c r="Q7" s="8">
        <f>D20+H20+L20</f>
        <v>78</v>
      </c>
    </row>
    <row r="8" spans="2:17" ht="17" x14ac:dyDescent="0.2">
      <c r="B8" s="9" t="s">
        <v>59</v>
      </c>
      <c r="C8" s="8">
        <v>1</v>
      </c>
      <c r="D8" s="8"/>
      <c r="E8" s="8"/>
      <c r="F8" s="8">
        <f t="shared" si="0"/>
        <v>1</v>
      </c>
      <c r="G8" s="8">
        <v>51</v>
      </c>
      <c r="H8" s="8">
        <v>15</v>
      </c>
      <c r="I8" s="8">
        <v>9</v>
      </c>
      <c r="J8" s="8">
        <f t="shared" si="1"/>
        <v>75</v>
      </c>
      <c r="K8" s="8">
        <v>2</v>
      </c>
      <c r="L8" s="8">
        <v>1</v>
      </c>
      <c r="M8" s="8">
        <v>1</v>
      </c>
      <c r="N8" s="8">
        <f t="shared" si="2"/>
        <v>4</v>
      </c>
      <c r="P8" s="10" t="s">
        <v>168</v>
      </c>
      <c r="Q8" s="8">
        <f>E20+I20+M20</f>
        <v>56</v>
      </c>
    </row>
    <row r="9" spans="2:17" ht="17" x14ac:dyDescent="0.2">
      <c r="B9" s="9" t="s">
        <v>99</v>
      </c>
      <c r="C9" s="8">
        <v>1</v>
      </c>
      <c r="D9" s="8"/>
      <c r="E9" s="8"/>
      <c r="F9" s="8">
        <f t="shared" si="0"/>
        <v>1</v>
      </c>
      <c r="G9" s="8">
        <v>21</v>
      </c>
      <c r="H9" s="8">
        <v>8</v>
      </c>
      <c r="I9" s="8">
        <v>8</v>
      </c>
      <c r="J9" s="8">
        <f t="shared" si="1"/>
        <v>37</v>
      </c>
      <c r="K9" s="8">
        <v>2</v>
      </c>
      <c r="L9" s="8"/>
      <c r="M9" s="8"/>
      <c r="N9" s="8">
        <f t="shared" si="2"/>
        <v>2</v>
      </c>
      <c r="P9" s="10" t="s">
        <v>169</v>
      </c>
      <c r="Q9" s="8">
        <f>Q6+(0.5*Q7)</f>
        <v>296</v>
      </c>
    </row>
    <row r="10" spans="2:17" ht="15" x14ac:dyDescent="0.2">
      <c r="B10" s="9" t="s">
        <v>64</v>
      </c>
      <c r="C10" s="8">
        <v>8</v>
      </c>
      <c r="D10" s="8"/>
      <c r="E10" s="8"/>
      <c r="F10" s="8">
        <f t="shared" si="0"/>
        <v>8</v>
      </c>
      <c r="G10" s="8">
        <v>52</v>
      </c>
      <c r="H10" s="8">
        <v>15</v>
      </c>
      <c r="I10" s="8">
        <v>8</v>
      </c>
      <c r="J10" s="8">
        <f t="shared" si="1"/>
        <v>75</v>
      </c>
      <c r="K10" s="8">
        <v>1</v>
      </c>
      <c r="L10" s="8">
        <v>1</v>
      </c>
      <c r="M10" s="8">
        <v>1</v>
      </c>
      <c r="N10" s="8">
        <f t="shared" si="2"/>
        <v>3</v>
      </c>
      <c r="P10" s="11" t="s">
        <v>157</v>
      </c>
      <c r="Q10" s="12">
        <f>Q9/Q5</f>
        <v>0.75703324808184147</v>
      </c>
    </row>
    <row r="11" spans="2:17" ht="15" x14ac:dyDescent="0.2">
      <c r="B11" s="9" t="s">
        <v>66</v>
      </c>
      <c r="C11" s="8">
        <v>1</v>
      </c>
      <c r="D11" s="8"/>
      <c r="E11" s="8"/>
      <c r="F11" s="8">
        <f t="shared" si="0"/>
        <v>1</v>
      </c>
      <c r="G11" s="8">
        <v>9</v>
      </c>
      <c r="H11" s="8">
        <v>3</v>
      </c>
      <c r="I11" s="8">
        <v>5</v>
      </c>
      <c r="J11" s="8">
        <f t="shared" si="1"/>
        <v>17</v>
      </c>
      <c r="K11" s="8">
        <v>1</v>
      </c>
      <c r="L11" s="8"/>
      <c r="M11" s="8"/>
      <c r="N11" s="8">
        <f t="shared" si="2"/>
        <v>1</v>
      </c>
    </row>
    <row r="12" spans="2:17" ht="15" x14ac:dyDescent="0.2">
      <c r="B12" s="9" t="s">
        <v>62</v>
      </c>
      <c r="C12" s="8">
        <v>1</v>
      </c>
      <c r="D12" s="8"/>
      <c r="E12" s="8"/>
      <c r="F12" s="8">
        <f t="shared" si="0"/>
        <v>1</v>
      </c>
      <c r="G12" s="8">
        <v>14</v>
      </c>
      <c r="H12" s="8">
        <v>6</v>
      </c>
      <c r="I12" s="8">
        <v>2</v>
      </c>
      <c r="J12" s="8">
        <f t="shared" si="1"/>
        <v>22</v>
      </c>
      <c r="K12" s="8">
        <v>1</v>
      </c>
      <c r="L12" s="8"/>
      <c r="M12" s="8"/>
      <c r="N12" s="8">
        <f t="shared" si="2"/>
        <v>1</v>
      </c>
    </row>
    <row r="13" spans="2:17" ht="15" x14ac:dyDescent="0.2">
      <c r="B13" s="9" t="s">
        <v>68</v>
      </c>
      <c r="C13" s="8"/>
      <c r="D13" s="8"/>
      <c r="E13" s="8"/>
      <c r="F13" s="8">
        <f t="shared" si="0"/>
        <v>0</v>
      </c>
      <c r="G13" s="8">
        <v>10</v>
      </c>
      <c r="H13" s="8"/>
      <c r="I13" s="8">
        <v>1</v>
      </c>
      <c r="J13" s="8">
        <f t="shared" si="1"/>
        <v>11</v>
      </c>
      <c r="K13" s="8">
        <v>1</v>
      </c>
      <c r="L13" s="8"/>
      <c r="M13" s="8"/>
      <c r="N13" s="8">
        <f t="shared" si="2"/>
        <v>1</v>
      </c>
    </row>
    <row r="14" spans="2:17" ht="15" x14ac:dyDescent="0.2">
      <c r="B14" s="9" t="s">
        <v>56</v>
      </c>
      <c r="C14" s="8"/>
      <c r="D14" s="8"/>
      <c r="E14" s="8"/>
      <c r="F14" s="8">
        <f t="shared" si="0"/>
        <v>0</v>
      </c>
      <c r="G14" s="8">
        <v>51</v>
      </c>
      <c r="H14" s="8">
        <v>15</v>
      </c>
      <c r="I14" s="8">
        <v>9</v>
      </c>
      <c r="J14" s="8">
        <f t="shared" si="1"/>
        <v>75</v>
      </c>
      <c r="K14" s="8">
        <v>1</v>
      </c>
      <c r="L14" s="8">
        <v>1</v>
      </c>
      <c r="M14" s="8">
        <v>1</v>
      </c>
      <c r="N14" s="8">
        <f t="shared" si="2"/>
        <v>3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12</v>
      </c>
      <c r="D20" s="75">
        <f t="shared" si="3"/>
        <v>0</v>
      </c>
      <c r="E20" s="75">
        <f t="shared" si="3"/>
        <v>0</v>
      </c>
      <c r="F20" s="75">
        <f t="shared" si="3"/>
        <v>12</v>
      </c>
      <c r="G20" s="75">
        <f t="shared" si="3"/>
        <v>233</v>
      </c>
      <c r="H20" s="75">
        <f t="shared" si="3"/>
        <v>72</v>
      </c>
      <c r="I20" s="75">
        <f t="shared" si="3"/>
        <v>51</v>
      </c>
      <c r="J20" s="75">
        <f t="shared" si="3"/>
        <v>356</v>
      </c>
      <c r="K20" s="75">
        <f t="shared" si="3"/>
        <v>12</v>
      </c>
      <c r="L20" s="75">
        <f t="shared" si="3"/>
        <v>6</v>
      </c>
      <c r="M20" s="75">
        <f t="shared" si="3"/>
        <v>5</v>
      </c>
      <c r="N20" s="75">
        <f t="shared" si="3"/>
        <v>23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124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87</v>
      </c>
    </row>
    <row r="26" spans="2:17" ht="17" x14ac:dyDescent="0.2">
      <c r="B26" s="9" t="s">
        <v>100</v>
      </c>
      <c r="C26" s="8"/>
      <c r="D26" s="8"/>
      <c r="E26" s="8"/>
      <c r="F26" s="8">
        <f>C26+D26+E26</f>
        <v>0</v>
      </c>
      <c r="G26" s="8">
        <v>6</v>
      </c>
      <c r="H26" s="8">
        <v>2</v>
      </c>
      <c r="I26" s="8">
        <v>1</v>
      </c>
      <c r="J26" s="8">
        <f>G26+H26+I26</f>
        <v>9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15</v>
      </c>
    </row>
    <row r="27" spans="2:17" ht="17" x14ac:dyDescent="0.2">
      <c r="B27" s="9" t="s">
        <v>98</v>
      </c>
      <c r="C27" s="8"/>
      <c r="D27" s="8"/>
      <c r="E27" s="8"/>
      <c r="F27" s="8">
        <f t="shared" ref="F27:F31" si="4">C27+D27+E27</f>
        <v>0</v>
      </c>
      <c r="G27" s="8">
        <v>11</v>
      </c>
      <c r="H27" s="8"/>
      <c r="I27" s="8">
        <v>3</v>
      </c>
      <c r="J27" s="8">
        <f t="shared" ref="J27:J31" si="5">G27+H27+I27</f>
        <v>14</v>
      </c>
      <c r="K27" s="8">
        <v>3</v>
      </c>
      <c r="L27" s="8"/>
      <c r="M27" s="8"/>
      <c r="N27" s="8">
        <f t="shared" ref="N27:N31" si="6">K27+L27+M27</f>
        <v>3</v>
      </c>
      <c r="P27" s="10" t="s">
        <v>168</v>
      </c>
      <c r="Q27" s="8">
        <f>E32+I32+M32</f>
        <v>22</v>
      </c>
    </row>
    <row r="28" spans="2:17" ht="17" x14ac:dyDescent="0.2">
      <c r="B28" s="9" t="s">
        <v>95</v>
      </c>
      <c r="C28" s="8"/>
      <c r="D28" s="8"/>
      <c r="E28" s="8"/>
      <c r="F28" s="8">
        <f t="shared" si="4"/>
        <v>0</v>
      </c>
      <c r="G28" s="8">
        <v>17</v>
      </c>
      <c r="H28" s="8"/>
      <c r="I28" s="8">
        <v>8</v>
      </c>
      <c r="J28" s="8">
        <f t="shared" si="5"/>
        <v>25</v>
      </c>
      <c r="K28" s="8">
        <v>1</v>
      </c>
      <c r="L28" s="8"/>
      <c r="M28" s="8"/>
      <c r="N28" s="8">
        <f t="shared" si="6"/>
        <v>1</v>
      </c>
      <c r="P28" s="10" t="s">
        <v>169</v>
      </c>
      <c r="Q28" s="8">
        <f t="shared" ref="Q28" si="7">Q25+(0.5*Q26)</f>
        <v>94.5</v>
      </c>
    </row>
    <row r="29" spans="2:17" ht="15" x14ac:dyDescent="0.2">
      <c r="B29" s="9" t="s">
        <v>113</v>
      </c>
      <c r="C29" s="8"/>
      <c r="D29" s="8"/>
      <c r="E29" s="8"/>
      <c r="F29" s="8">
        <f t="shared" si="4"/>
        <v>0</v>
      </c>
      <c r="G29" s="8">
        <v>46</v>
      </c>
      <c r="H29" s="8">
        <v>13</v>
      </c>
      <c r="I29" s="8">
        <v>9</v>
      </c>
      <c r="J29" s="8">
        <f t="shared" si="5"/>
        <v>68</v>
      </c>
      <c r="K29" s="8">
        <v>2</v>
      </c>
      <c r="L29" s="8"/>
      <c r="M29" s="8">
        <v>1</v>
      </c>
      <c r="N29" s="8">
        <f t="shared" si="6"/>
        <v>3</v>
      </c>
      <c r="P29" s="11" t="s">
        <v>157</v>
      </c>
      <c r="Q29" s="12">
        <f t="shared" ref="Q29" si="8">Q28/Q24</f>
        <v>0.76209677419354838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80</v>
      </c>
      <c r="H32" s="75">
        <f t="shared" si="9"/>
        <v>15</v>
      </c>
      <c r="I32" s="75">
        <f t="shared" si="9"/>
        <v>21</v>
      </c>
      <c r="J32" s="75">
        <f t="shared" si="9"/>
        <v>116</v>
      </c>
      <c r="K32" s="75">
        <f t="shared" si="9"/>
        <v>7</v>
      </c>
      <c r="L32" s="75">
        <f t="shared" si="9"/>
        <v>0</v>
      </c>
      <c r="M32" s="75">
        <f t="shared" si="9"/>
        <v>1</v>
      </c>
      <c r="N32" s="75">
        <f t="shared" si="9"/>
        <v>8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94281</v>
      </c>
    </row>
    <row r="39" spans="2:7" x14ac:dyDescent="0.2">
      <c r="B39" s="77" t="s">
        <v>159</v>
      </c>
      <c r="C39" s="77" t="s">
        <v>77</v>
      </c>
      <c r="D39" s="78">
        <v>65997</v>
      </c>
    </row>
    <row r="40" spans="2:7" x14ac:dyDescent="0.2">
      <c r="B40" s="77" t="s">
        <v>160</v>
      </c>
      <c r="C40" s="77" t="s">
        <v>78</v>
      </c>
      <c r="D40" s="79">
        <v>28284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15.524697802669341</v>
      </c>
    </row>
    <row r="44" spans="2:7" ht="15" x14ac:dyDescent="0.2"/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B03B-DA29-7046-A90F-9D923359B337}">
  <sheetPr codeName="Sheet19"/>
  <dimension ref="B3:Q47"/>
  <sheetViews>
    <sheetView topLeftCell="A5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5" customWidth="1"/>
    <col min="8" max="8" width="14.33203125" customWidth="1"/>
    <col min="12" max="12" width="14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91</v>
      </c>
      <c r="C5" s="8"/>
      <c r="D5" s="8"/>
      <c r="E5" s="8"/>
      <c r="F5" s="8">
        <f>C5+D5+E5</f>
        <v>0</v>
      </c>
      <c r="G5" s="8">
        <v>13</v>
      </c>
      <c r="H5" s="8">
        <v>3</v>
      </c>
      <c r="I5" s="8">
        <v>4</v>
      </c>
      <c r="J5" s="8">
        <f>G5+H5+I5</f>
        <v>20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165</v>
      </c>
    </row>
    <row r="6" spans="2:17" ht="17" x14ac:dyDescent="0.2">
      <c r="B6" s="9" t="s">
        <v>57</v>
      </c>
      <c r="C6" s="8"/>
      <c r="D6" s="8"/>
      <c r="E6" s="8"/>
      <c r="F6" s="8">
        <f t="shared" ref="F6:F19" si="0">C6+D6+E6</f>
        <v>0</v>
      </c>
      <c r="G6" s="8">
        <v>5</v>
      </c>
      <c r="H6" s="8">
        <v>12</v>
      </c>
      <c r="I6" s="8">
        <v>4</v>
      </c>
      <c r="J6" s="8">
        <f t="shared" ref="J6:J19" si="1">G6+H6+I6</f>
        <v>21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113</v>
      </c>
    </row>
    <row r="7" spans="2:17" ht="17" x14ac:dyDescent="0.2">
      <c r="B7" s="9" t="s">
        <v>66</v>
      </c>
      <c r="C7" s="8"/>
      <c r="D7" s="8"/>
      <c r="E7" s="8"/>
      <c r="F7" s="8">
        <f t="shared" si="0"/>
        <v>0</v>
      </c>
      <c r="G7" s="8">
        <v>22</v>
      </c>
      <c r="H7" s="8">
        <v>1</v>
      </c>
      <c r="I7" s="8"/>
      <c r="J7" s="8">
        <f t="shared" si="1"/>
        <v>23</v>
      </c>
      <c r="K7" s="8">
        <v>1</v>
      </c>
      <c r="L7" s="8"/>
      <c r="M7" s="8"/>
      <c r="N7" s="8">
        <f t="shared" si="2"/>
        <v>1</v>
      </c>
      <c r="P7" s="10" t="s">
        <v>167</v>
      </c>
      <c r="Q7" s="8">
        <f>D20+H20+L20</f>
        <v>28</v>
      </c>
    </row>
    <row r="8" spans="2:17" ht="17" x14ac:dyDescent="0.2">
      <c r="B8" s="9" t="s">
        <v>59</v>
      </c>
      <c r="C8" s="8"/>
      <c r="D8" s="8"/>
      <c r="E8" s="8"/>
      <c r="F8" s="8">
        <f t="shared" si="0"/>
        <v>0</v>
      </c>
      <c r="G8" s="8">
        <v>56</v>
      </c>
      <c r="H8" s="8">
        <v>7</v>
      </c>
      <c r="I8" s="8">
        <v>14</v>
      </c>
      <c r="J8" s="8">
        <f t="shared" si="1"/>
        <v>77</v>
      </c>
      <c r="K8" s="8">
        <v>3</v>
      </c>
      <c r="L8" s="8">
        <v>1</v>
      </c>
      <c r="M8" s="8"/>
      <c r="N8" s="8">
        <f t="shared" si="2"/>
        <v>4</v>
      </c>
      <c r="P8" s="10" t="s">
        <v>168</v>
      </c>
      <c r="Q8" s="8">
        <f>E20+I20+M20</f>
        <v>24</v>
      </c>
    </row>
    <row r="9" spans="2:17" ht="17" x14ac:dyDescent="0.2">
      <c r="B9" s="9" t="s">
        <v>114</v>
      </c>
      <c r="C9" s="8">
        <v>1</v>
      </c>
      <c r="D9" s="8"/>
      <c r="E9" s="8"/>
      <c r="F9" s="8">
        <f t="shared" si="0"/>
        <v>1</v>
      </c>
      <c r="G9" s="8">
        <v>8</v>
      </c>
      <c r="H9" s="8">
        <v>2</v>
      </c>
      <c r="I9" s="8">
        <v>1</v>
      </c>
      <c r="J9" s="8">
        <f t="shared" si="1"/>
        <v>11</v>
      </c>
      <c r="K9" s="8">
        <v>3</v>
      </c>
      <c r="L9" s="8">
        <v>2</v>
      </c>
      <c r="M9" s="8">
        <v>1</v>
      </c>
      <c r="N9" s="8">
        <f t="shared" si="2"/>
        <v>6</v>
      </c>
      <c r="P9" s="10" t="s">
        <v>169</v>
      </c>
      <c r="Q9" s="8">
        <f>Q6+(0.5*Q7)</f>
        <v>127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0.76969696969696966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1</v>
      </c>
      <c r="D20" s="75">
        <f t="shared" si="3"/>
        <v>0</v>
      </c>
      <c r="E20" s="75">
        <f t="shared" si="3"/>
        <v>0</v>
      </c>
      <c r="F20" s="75">
        <f t="shared" si="3"/>
        <v>1</v>
      </c>
      <c r="G20" s="75">
        <f t="shared" si="3"/>
        <v>104</v>
      </c>
      <c r="H20" s="75">
        <f t="shared" si="3"/>
        <v>25</v>
      </c>
      <c r="I20" s="75">
        <f t="shared" si="3"/>
        <v>23</v>
      </c>
      <c r="J20" s="75">
        <f t="shared" si="3"/>
        <v>152</v>
      </c>
      <c r="K20" s="75">
        <f t="shared" si="3"/>
        <v>8</v>
      </c>
      <c r="L20" s="75">
        <f t="shared" si="3"/>
        <v>3</v>
      </c>
      <c r="M20" s="75">
        <f t="shared" si="3"/>
        <v>1</v>
      </c>
      <c r="N20" s="75">
        <f t="shared" si="3"/>
        <v>12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27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25</v>
      </c>
    </row>
    <row r="26" spans="2:17" ht="17" x14ac:dyDescent="0.2">
      <c r="B26" s="9" t="s">
        <v>95</v>
      </c>
      <c r="C26" s="8"/>
      <c r="D26" s="8"/>
      <c r="E26" s="8"/>
      <c r="F26" s="8">
        <f>C26+D26+E26</f>
        <v>0</v>
      </c>
      <c r="G26" s="8">
        <v>24</v>
      </c>
      <c r="H26" s="8">
        <v>2</v>
      </c>
      <c r="I26" s="8"/>
      <c r="J26" s="8">
        <f>G26+H26+I26</f>
        <v>26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2</v>
      </c>
    </row>
    <row r="27" spans="2:17" ht="17" x14ac:dyDescent="0.2">
      <c r="B27" s="9" t="s">
        <v>70</v>
      </c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0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26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0.96296296296296291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24</v>
      </c>
      <c r="H32" s="75">
        <f t="shared" si="9"/>
        <v>2</v>
      </c>
      <c r="I32" s="75">
        <f t="shared" si="9"/>
        <v>0</v>
      </c>
      <c r="J32" s="75">
        <f t="shared" si="9"/>
        <v>26</v>
      </c>
      <c r="K32" s="75">
        <f t="shared" si="9"/>
        <v>1</v>
      </c>
      <c r="L32" s="75">
        <f t="shared" si="9"/>
        <v>0</v>
      </c>
      <c r="M32" s="75">
        <f t="shared" si="9"/>
        <v>0</v>
      </c>
      <c r="N32" s="75">
        <f t="shared" si="9"/>
        <v>1</v>
      </c>
    </row>
    <row r="39" spans="2:7" x14ac:dyDescent="0.2">
      <c r="B39" s="75" t="s">
        <v>161</v>
      </c>
      <c r="C39" s="80" t="s">
        <v>162</v>
      </c>
      <c r="D39" s="80" t="s">
        <v>163</v>
      </c>
      <c r="F39" s="180"/>
      <c r="G39" s="180"/>
    </row>
    <row r="40" spans="2:7" x14ac:dyDescent="0.2">
      <c r="B40" s="77" t="s">
        <v>158</v>
      </c>
      <c r="C40" s="77" t="s">
        <v>76</v>
      </c>
      <c r="D40" s="77">
        <v>9749</v>
      </c>
    </row>
    <row r="41" spans="2:7" x14ac:dyDescent="0.2">
      <c r="B41" s="77" t="s">
        <v>159</v>
      </c>
      <c r="C41" s="77" t="s">
        <v>77</v>
      </c>
      <c r="D41" s="78">
        <v>7507</v>
      </c>
    </row>
    <row r="42" spans="2:7" x14ac:dyDescent="0.2">
      <c r="B42" s="77" t="s">
        <v>160</v>
      </c>
      <c r="C42" s="77" t="s">
        <v>78</v>
      </c>
      <c r="D42" s="79">
        <v>2242</v>
      </c>
    </row>
    <row r="43" spans="2:7" x14ac:dyDescent="0.2">
      <c r="B43" s="77" t="s">
        <v>164</v>
      </c>
      <c r="C43" s="77" t="s">
        <v>79</v>
      </c>
      <c r="D43" s="77">
        <v>2</v>
      </c>
    </row>
    <row r="44" spans="2:7" x14ac:dyDescent="0.2">
      <c r="B44" s="53" t="s">
        <v>166</v>
      </c>
      <c r="C44" s="53" t="s">
        <v>139</v>
      </c>
      <c r="D44" s="76">
        <f>SIGN(D41-D42)*LOG(ABS(D41-D42)+(D40/10),D43)</f>
        <v>12.607307193451517</v>
      </c>
    </row>
    <row r="47" spans="2:7" ht="15" x14ac:dyDescent="0.2"/>
  </sheetData>
  <mergeCells count="9">
    <mergeCell ref="F39:G39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4ED0-03DD-2E4B-BDC4-0FC3E4D68A80}">
  <sheetPr codeName="Sheet20"/>
  <dimension ref="B3:Q45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6640625" customWidth="1"/>
    <col min="8" max="8" width="15" customWidth="1"/>
    <col min="12" max="12" width="15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91</v>
      </c>
      <c r="C5" s="8"/>
      <c r="D5" s="8">
        <v>1</v>
      </c>
      <c r="E5" s="8"/>
      <c r="F5" s="8">
        <f>C5+D5+E5</f>
        <v>1</v>
      </c>
      <c r="G5" s="8">
        <v>11</v>
      </c>
      <c r="H5" s="8">
        <v>3</v>
      </c>
      <c r="I5" s="8">
        <v>5</v>
      </c>
      <c r="J5" s="8">
        <f>G5+H5+I5</f>
        <v>19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150</v>
      </c>
    </row>
    <row r="6" spans="2:17" ht="17" x14ac:dyDescent="0.2">
      <c r="B6" s="9" t="s">
        <v>95</v>
      </c>
      <c r="C6" s="8"/>
      <c r="D6" s="8"/>
      <c r="E6" s="8"/>
      <c r="F6" s="8">
        <f t="shared" ref="F6:F19" si="0">C6+D6+E6</f>
        <v>0</v>
      </c>
      <c r="G6" s="8">
        <v>6</v>
      </c>
      <c r="H6" s="8">
        <v>1</v>
      </c>
      <c r="I6" s="8">
        <v>5</v>
      </c>
      <c r="J6" s="8">
        <f t="shared" ref="J6:J19" si="1">G6+H6+I6</f>
        <v>12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92</v>
      </c>
    </row>
    <row r="7" spans="2:17" ht="17" x14ac:dyDescent="0.2">
      <c r="B7" s="9" t="s">
        <v>84</v>
      </c>
      <c r="C7" s="8">
        <v>1</v>
      </c>
      <c r="D7" s="8"/>
      <c r="E7" s="8"/>
      <c r="F7" s="8">
        <f t="shared" si="0"/>
        <v>1</v>
      </c>
      <c r="G7" s="8">
        <v>8</v>
      </c>
      <c r="H7" s="8">
        <v>1</v>
      </c>
      <c r="I7" s="8">
        <v>1</v>
      </c>
      <c r="J7" s="8">
        <f t="shared" si="1"/>
        <v>10</v>
      </c>
      <c r="K7" s="8">
        <v>2</v>
      </c>
      <c r="L7" s="8"/>
      <c r="M7" s="8"/>
      <c r="N7" s="8">
        <f t="shared" si="2"/>
        <v>2</v>
      </c>
      <c r="P7" s="10" t="s">
        <v>167</v>
      </c>
      <c r="Q7" s="8">
        <f>D20+H20+L20</f>
        <v>25</v>
      </c>
    </row>
    <row r="8" spans="2:17" ht="17" x14ac:dyDescent="0.2">
      <c r="B8" s="9" t="s">
        <v>115</v>
      </c>
      <c r="C8" s="8"/>
      <c r="D8" s="8"/>
      <c r="E8" s="8"/>
      <c r="F8" s="8">
        <f t="shared" si="0"/>
        <v>0</v>
      </c>
      <c r="G8" s="8">
        <v>15</v>
      </c>
      <c r="H8" s="8">
        <v>6</v>
      </c>
      <c r="I8" s="8">
        <v>13</v>
      </c>
      <c r="J8" s="8">
        <f t="shared" si="1"/>
        <v>34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33</v>
      </c>
    </row>
    <row r="9" spans="2:17" ht="17" x14ac:dyDescent="0.2">
      <c r="B9" s="9" t="s">
        <v>59</v>
      </c>
      <c r="C9" s="8"/>
      <c r="D9" s="8"/>
      <c r="E9" s="8"/>
      <c r="F9" s="8">
        <f t="shared" si="0"/>
        <v>0</v>
      </c>
      <c r="G9" s="8">
        <v>44</v>
      </c>
      <c r="H9" s="8">
        <v>12</v>
      </c>
      <c r="I9" s="8">
        <v>8</v>
      </c>
      <c r="J9" s="8">
        <f t="shared" si="1"/>
        <v>64</v>
      </c>
      <c r="K9" s="8">
        <v>3</v>
      </c>
      <c r="L9" s="8">
        <v>1</v>
      </c>
      <c r="M9" s="8">
        <v>1</v>
      </c>
      <c r="N9" s="8">
        <f t="shared" si="2"/>
        <v>5</v>
      </c>
      <c r="P9" s="10" t="s">
        <v>169</v>
      </c>
      <c r="Q9" s="8">
        <f>Q6+(0.5*Q7)</f>
        <v>104.5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0.69666666666666666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1</v>
      </c>
      <c r="D20" s="75">
        <f t="shared" si="3"/>
        <v>1</v>
      </c>
      <c r="E20" s="75">
        <f t="shared" si="3"/>
        <v>0</v>
      </c>
      <c r="F20" s="75">
        <f t="shared" si="3"/>
        <v>2</v>
      </c>
      <c r="G20" s="75">
        <f t="shared" si="3"/>
        <v>84</v>
      </c>
      <c r="H20" s="75">
        <f t="shared" si="3"/>
        <v>23</v>
      </c>
      <c r="I20" s="75">
        <f t="shared" si="3"/>
        <v>32</v>
      </c>
      <c r="J20" s="75">
        <f t="shared" si="3"/>
        <v>139</v>
      </c>
      <c r="K20" s="75">
        <f t="shared" si="3"/>
        <v>7</v>
      </c>
      <c r="L20" s="75">
        <f t="shared" si="3"/>
        <v>1</v>
      </c>
      <c r="M20" s="75">
        <f t="shared" si="3"/>
        <v>1</v>
      </c>
      <c r="N20" s="75">
        <f t="shared" si="3"/>
        <v>9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32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15</v>
      </c>
    </row>
    <row r="26" spans="2:17" ht="17" x14ac:dyDescent="0.2">
      <c r="B26" s="9" t="s">
        <v>75</v>
      </c>
      <c r="C26" s="8"/>
      <c r="D26" s="8"/>
      <c r="E26" s="8"/>
      <c r="F26" s="8">
        <f>C26+D26+E26</f>
        <v>0</v>
      </c>
      <c r="G26" s="8">
        <v>14</v>
      </c>
      <c r="H26" s="8">
        <v>10</v>
      </c>
      <c r="I26" s="8">
        <v>5</v>
      </c>
      <c r="J26" s="8">
        <f>G26+H26+I26</f>
        <v>29</v>
      </c>
      <c r="K26" s="8">
        <v>1</v>
      </c>
      <c r="L26" s="8">
        <v>1</v>
      </c>
      <c r="M26" s="8">
        <v>1</v>
      </c>
      <c r="N26" s="8">
        <f>K26+L26+M26</f>
        <v>3</v>
      </c>
      <c r="P26" s="10" t="s">
        <v>167</v>
      </c>
      <c r="Q26" s="8">
        <f>D32+H32+L32</f>
        <v>11</v>
      </c>
    </row>
    <row r="27" spans="2:17" ht="17" x14ac:dyDescent="0.2">
      <c r="B27" s="9" t="s">
        <v>70</v>
      </c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6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20.5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0.640625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14</v>
      </c>
      <c r="H32" s="75">
        <f t="shared" si="9"/>
        <v>10</v>
      </c>
      <c r="I32" s="75">
        <f t="shared" si="9"/>
        <v>5</v>
      </c>
      <c r="J32" s="75">
        <f t="shared" si="9"/>
        <v>29</v>
      </c>
      <c r="K32" s="75">
        <f t="shared" si="9"/>
        <v>1</v>
      </c>
      <c r="L32" s="75">
        <f t="shared" si="9"/>
        <v>1</v>
      </c>
      <c r="M32" s="75">
        <f t="shared" si="9"/>
        <v>1</v>
      </c>
      <c r="N32" s="75">
        <f t="shared" si="9"/>
        <v>3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1197</v>
      </c>
    </row>
    <row r="39" spans="2:7" x14ac:dyDescent="0.2">
      <c r="B39" s="77" t="s">
        <v>159</v>
      </c>
      <c r="C39" s="77" t="s">
        <v>77</v>
      </c>
      <c r="D39" s="78">
        <v>958</v>
      </c>
    </row>
    <row r="40" spans="2:7" x14ac:dyDescent="0.2">
      <c r="B40" s="77" t="s">
        <v>160</v>
      </c>
      <c r="C40" s="77" t="s">
        <v>78</v>
      </c>
      <c r="D40" s="79">
        <v>239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9.7120110458390254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0FDB-5715-3044-9FE0-0FFC70D12978}">
  <sheetPr codeName="Sheet21"/>
  <dimension ref="B2:Q45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5" customWidth="1"/>
    <col min="8" max="8" width="14.5" customWidth="1"/>
    <col min="12" max="12" width="14.6640625" customWidth="1"/>
    <col min="16" max="16" width="41" customWidth="1"/>
  </cols>
  <sheetData>
    <row r="2" spans="2:17" x14ac:dyDescent="0.2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64</v>
      </c>
      <c r="C5" s="8"/>
      <c r="D5" s="8"/>
      <c r="E5" s="8"/>
      <c r="F5" s="8">
        <f>C5+D5+E5</f>
        <v>0</v>
      </c>
      <c r="G5" s="8">
        <v>21</v>
      </c>
      <c r="H5" s="8">
        <v>14</v>
      </c>
      <c r="I5" s="8">
        <v>13</v>
      </c>
      <c r="J5" s="8">
        <f>G5+H5+I5</f>
        <v>48</v>
      </c>
      <c r="K5" s="8"/>
      <c r="L5" s="8">
        <v>2</v>
      </c>
      <c r="M5" s="8">
        <v>2</v>
      </c>
      <c r="N5" s="8">
        <f>K5+L5+M5</f>
        <v>4</v>
      </c>
      <c r="P5" s="10" t="s">
        <v>50</v>
      </c>
      <c r="Q5" s="8">
        <f>F20+J20+N20</f>
        <v>73</v>
      </c>
    </row>
    <row r="6" spans="2:17" ht="17" x14ac:dyDescent="0.2">
      <c r="B6" s="9" t="s">
        <v>95</v>
      </c>
      <c r="C6" s="8"/>
      <c r="D6" s="8"/>
      <c r="E6" s="8"/>
      <c r="F6" s="8">
        <f t="shared" ref="F6:F19" si="0">C6+D6+E6</f>
        <v>0</v>
      </c>
      <c r="G6" s="8">
        <v>9</v>
      </c>
      <c r="H6" s="8">
        <v>4</v>
      </c>
      <c r="I6" s="8">
        <v>7</v>
      </c>
      <c r="J6" s="8">
        <f t="shared" ref="J6:J19" si="1">G6+H6+I6</f>
        <v>20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31</v>
      </c>
    </row>
    <row r="7" spans="2:17" ht="17" x14ac:dyDescent="0.2">
      <c r="B7" s="9"/>
      <c r="C7" s="8"/>
      <c r="D7" s="8"/>
      <c r="E7" s="8"/>
      <c r="F7" s="8">
        <f t="shared" si="0"/>
        <v>0</v>
      </c>
      <c r="G7" s="8"/>
      <c r="H7" s="8"/>
      <c r="I7" s="8"/>
      <c r="J7" s="8">
        <f t="shared" si="1"/>
        <v>0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20</v>
      </c>
    </row>
    <row r="8" spans="2:17" ht="17" x14ac:dyDescent="0.2">
      <c r="B8" s="9"/>
      <c r="C8" s="8"/>
      <c r="D8" s="8"/>
      <c r="E8" s="8"/>
      <c r="F8" s="8">
        <f t="shared" si="0"/>
        <v>0</v>
      </c>
      <c r="G8" s="8"/>
      <c r="H8" s="8"/>
      <c r="I8" s="8"/>
      <c r="J8" s="8">
        <f t="shared" si="1"/>
        <v>0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22</v>
      </c>
    </row>
    <row r="9" spans="2:17" ht="17" x14ac:dyDescent="0.2">
      <c r="B9" s="9"/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41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0.56164383561643838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30</v>
      </c>
      <c r="H20" s="75">
        <f t="shared" si="3"/>
        <v>18</v>
      </c>
      <c r="I20" s="75">
        <f t="shared" si="3"/>
        <v>20</v>
      </c>
      <c r="J20" s="75">
        <f t="shared" si="3"/>
        <v>68</v>
      </c>
      <c r="K20" s="75">
        <f t="shared" si="3"/>
        <v>1</v>
      </c>
      <c r="L20" s="75">
        <f t="shared" si="3"/>
        <v>2</v>
      </c>
      <c r="M20" s="75">
        <f t="shared" si="3"/>
        <v>2</v>
      </c>
      <c r="N20" s="75">
        <f t="shared" si="3"/>
        <v>5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11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6</v>
      </c>
    </row>
    <row r="26" spans="2:17" ht="17" x14ac:dyDescent="0.2">
      <c r="B26" s="9" t="s">
        <v>84</v>
      </c>
      <c r="C26" s="8"/>
      <c r="D26" s="8"/>
      <c r="E26" s="8"/>
      <c r="F26" s="8">
        <f>C26+D26+E26</f>
        <v>0</v>
      </c>
      <c r="G26" s="8">
        <v>5</v>
      </c>
      <c r="H26" s="8">
        <v>2</v>
      </c>
      <c r="I26" s="8">
        <v>2</v>
      </c>
      <c r="J26" s="8">
        <f>G26+H26+I26</f>
        <v>9</v>
      </c>
      <c r="K26" s="8">
        <v>1</v>
      </c>
      <c r="L26" s="8">
        <v>1</v>
      </c>
      <c r="M26" s="8"/>
      <c r="N26" s="8">
        <f>K26+L26+M26</f>
        <v>2</v>
      </c>
      <c r="P26" s="10" t="s">
        <v>167</v>
      </c>
      <c r="Q26" s="8">
        <f>D32+H32+L32</f>
        <v>3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2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7.5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0.68181818181818177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5</v>
      </c>
      <c r="H32" s="75">
        <f t="shared" si="9"/>
        <v>2</v>
      </c>
      <c r="I32" s="75">
        <f t="shared" si="9"/>
        <v>2</v>
      </c>
      <c r="J32" s="75">
        <f t="shared" si="9"/>
        <v>9</v>
      </c>
      <c r="K32" s="75">
        <f t="shared" si="9"/>
        <v>1</v>
      </c>
      <c r="L32" s="75">
        <f t="shared" si="9"/>
        <v>1</v>
      </c>
      <c r="M32" s="75">
        <f t="shared" si="9"/>
        <v>0</v>
      </c>
      <c r="N32" s="75">
        <f t="shared" si="9"/>
        <v>2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55</v>
      </c>
    </row>
    <row r="39" spans="2:7" x14ac:dyDescent="0.2">
      <c r="B39" s="77" t="s">
        <v>159</v>
      </c>
      <c r="C39" s="77" t="s">
        <v>77</v>
      </c>
      <c r="D39" s="78">
        <v>41</v>
      </c>
    </row>
    <row r="40" spans="2:7" x14ac:dyDescent="0.2">
      <c r="B40" s="77" t="s">
        <v>160</v>
      </c>
      <c r="C40" s="77" t="s">
        <v>78</v>
      </c>
      <c r="D40" s="79">
        <v>14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5.0223678130284544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FBE3-A0F2-F144-9437-964A201FAE0D}">
  <sheetPr codeName="Sheet22"/>
  <dimension ref="B3:Q41"/>
  <sheetViews>
    <sheetView topLeftCell="B1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33203125" customWidth="1"/>
    <col min="8" max="8" width="14.1640625" customWidth="1"/>
    <col min="12" max="12" width="14.6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64</v>
      </c>
      <c r="C5" s="8"/>
      <c r="D5" s="8"/>
      <c r="E5" s="8"/>
      <c r="F5" s="8">
        <f>C5+D5+E5</f>
        <v>0</v>
      </c>
      <c r="G5" s="8">
        <v>27</v>
      </c>
      <c r="H5" s="8">
        <v>11</v>
      </c>
      <c r="I5" s="8">
        <v>6</v>
      </c>
      <c r="J5" s="8">
        <f>G5+H5+I5</f>
        <v>44</v>
      </c>
      <c r="K5" s="8">
        <v>3</v>
      </c>
      <c r="L5" s="8">
        <v>1</v>
      </c>
      <c r="M5" s="8">
        <v>1</v>
      </c>
      <c r="N5" s="8">
        <f>K5+L5+M5</f>
        <v>5</v>
      </c>
      <c r="P5" s="10" t="s">
        <v>50</v>
      </c>
      <c r="Q5" s="8">
        <f>F20+J20+N20</f>
        <v>97</v>
      </c>
    </row>
    <row r="6" spans="2:17" ht="17" x14ac:dyDescent="0.2">
      <c r="B6" s="9" t="s">
        <v>91</v>
      </c>
      <c r="C6" s="8"/>
      <c r="D6" s="8"/>
      <c r="E6" s="8"/>
      <c r="F6" s="8">
        <f t="shared" ref="F6:F19" si="0">C6+D6+E6</f>
        <v>0</v>
      </c>
      <c r="G6" s="8">
        <v>6</v>
      </c>
      <c r="H6" s="8">
        <v>5</v>
      </c>
      <c r="I6" s="8">
        <v>9</v>
      </c>
      <c r="J6" s="8">
        <f t="shared" ref="J6:J19" si="1">G6+H6+I6</f>
        <v>20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47</v>
      </c>
    </row>
    <row r="7" spans="2:17" ht="17" x14ac:dyDescent="0.2">
      <c r="B7" s="9" t="s">
        <v>93</v>
      </c>
      <c r="C7" s="8"/>
      <c r="D7" s="8"/>
      <c r="E7" s="8"/>
      <c r="F7" s="8">
        <f t="shared" si="0"/>
        <v>0</v>
      </c>
      <c r="G7" s="8">
        <v>5</v>
      </c>
      <c r="H7" s="8">
        <v>3</v>
      </c>
      <c r="I7" s="8">
        <v>3</v>
      </c>
      <c r="J7" s="8">
        <f t="shared" si="1"/>
        <v>11</v>
      </c>
      <c r="K7" s="8">
        <v>1</v>
      </c>
      <c r="L7" s="8"/>
      <c r="M7" s="8"/>
      <c r="N7" s="8">
        <f t="shared" si="2"/>
        <v>1</v>
      </c>
      <c r="P7" s="10" t="s">
        <v>167</v>
      </c>
      <c r="Q7" s="8">
        <f>D20+H20+L20</f>
        <v>25</v>
      </c>
    </row>
    <row r="8" spans="2:17" ht="17" x14ac:dyDescent="0.2">
      <c r="B8" s="9" t="s">
        <v>80</v>
      </c>
      <c r="C8" s="8"/>
      <c r="D8" s="8"/>
      <c r="E8" s="8"/>
      <c r="F8" s="8">
        <f t="shared" si="0"/>
        <v>0</v>
      </c>
      <c r="G8" s="8"/>
      <c r="H8" s="8"/>
      <c r="I8" s="8"/>
      <c r="J8" s="8">
        <f t="shared" si="1"/>
        <v>0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25</v>
      </c>
    </row>
    <row r="9" spans="2:17" ht="17" x14ac:dyDescent="0.2">
      <c r="B9" s="9" t="s">
        <v>98</v>
      </c>
      <c r="C9" s="8"/>
      <c r="D9" s="8"/>
      <c r="E9" s="8"/>
      <c r="F9" s="8">
        <f t="shared" si="0"/>
        <v>0</v>
      </c>
      <c r="G9" s="8">
        <v>4</v>
      </c>
      <c r="H9" s="8">
        <v>5</v>
      </c>
      <c r="I9" s="8">
        <v>6</v>
      </c>
      <c r="J9" s="8">
        <f t="shared" si="1"/>
        <v>15</v>
      </c>
      <c r="K9" s="8">
        <v>1</v>
      </c>
      <c r="L9" s="8"/>
      <c r="M9" s="8"/>
      <c r="N9" s="8">
        <f t="shared" si="2"/>
        <v>1</v>
      </c>
      <c r="P9" s="10" t="s">
        <v>169</v>
      </c>
      <c r="Q9" s="8">
        <f>Q6+(0.5*Q7)</f>
        <v>59.5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0.61340206185567014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42</v>
      </c>
      <c r="H20" s="75">
        <f t="shared" si="3"/>
        <v>24</v>
      </c>
      <c r="I20" s="75">
        <f t="shared" si="3"/>
        <v>24</v>
      </c>
      <c r="J20" s="75">
        <f t="shared" si="3"/>
        <v>90</v>
      </c>
      <c r="K20" s="75">
        <f t="shared" si="3"/>
        <v>5</v>
      </c>
      <c r="L20" s="75">
        <f t="shared" si="3"/>
        <v>1</v>
      </c>
      <c r="M20" s="75">
        <f t="shared" si="3"/>
        <v>1</v>
      </c>
      <c r="N20" s="75">
        <f t="shared" si="3"/>
        <v>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6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3</v>
      </c>
    </row>
    <row r="26" spans="2:17" ht="17" x14ac:dyDescent="0.2">
      <c r="B26" s="9" t="s">
        <v>116</v>
      </c>
      <c r="C26" s="8"/>
      <c r="D26" s="8"/>
      <c r="E26" s="8"/>
      <c r="F26" s="8">
        <f>C26+D26+E26</f>
        <v>0</v>
      </c>
      <c r="G26" s="8">
        <v>2</v>
      </c>
      <c r="H26" s="8">
        <v>2</v>
      </c>
      <c r="I26" s="8">
        <v>1</v>
      </c>
      <c r="J26" s="8">
        <f>G26+H26+I26</f>
        <v>5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2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4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0.66666666666666663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2</v>
      </c>
      <c r="H32" s="75">
        <f t="shared" si="9"/>
        <v>2</v>
      </c>
      <c r="I32" s="75">
        <f t="shared" si="9"/>
        <v>1</v>
      </c>
      <c r="J32" s="75">
        <f t="shared" si="9"/>
        <v>5</v>
      </c>
      <c r="K32" s="75">
        <f t="shared" si="9"/>
        <v>1</v>
      </c>
      <c r="L32" s="75">
        <f t="shared" si="9"/>
        <v>0</v>
      </c>
      <c r="M32" s="75">
        <f t="shared" si="9"/>
        <v>0</v>
      </c>
      <c r="N32" s="75">
        <f t="shared" si="9"/>
        <v>1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63</v>
      </c>
    </row>
    <row r="38" spans="2:7" x14ac:dyDescent="0.2">
      <c r="B38" s="77" t="s">
        <v>159</v>
      </c>
      <c r="C38" s="77" t="s">
        <v>77</v>
      </c>
      <c r="D38" s="78">
        <v>51</v>
      </c>
    </row>
    <row r="39" spans="2:7" x14ac:dyDescent="0.2">
      <c r="B39" s="77" t="s">
        <v>160</v>
      </c>
      <c r="C39" s="77" t="s">
        <v>78</v>
      </c>
      <c r="D39" s="79">
        <v>12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5.5014391451588729</v>
      </c>
    </row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D238-4706-FC43-A564-3FBACA68B3AB}">
  <sheetPr codeName="Sheet23"/>
  <dimension ref="B3:Q47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" customWidth="1"/>
    <col min="8" max="8" width="14.33203125" customWidth="1"/>
    <col min="12" max="12" width="14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59</v>
      </c>
      <c r="C5" s="8"/>
      <c r="D5" s="8"/>
      <c r="E5" s="8"/>
      <c r="F5" s="8">
        <f>C5+D5+E5</f>
        <v>0</v>
      </c>
      <c r="G5" s="8">
        <v>38</v>
      </c>
      <c r="H5" s="8">
        <v>15</v>
      </c>
      <c r="I5" s="8">
        <v>21</v>
      </c>
      <c r="J5" s="8">
        <f>G5+H5+I5</f>
        <v>74</v>
      </c>
      <c r="K5" s="8">
        <v>2</v>
      </c>
      <c r="L5" s="8">
        <v>1</v>
      </c>
      <c r="M5" s="8">
        <v>1</v>
      </c>
      <c r="N5" s="8">
        <f>K5+L5+M5</f>
        <v>4</v>
      </c>
      <c r="P5" s="10" t="s">
        <v>50</v>
      </c>
      <c r="Q5" s="8">
        <f>F20+J20+N20</f>
        <v>217</v>
      </c>
    </row>
    <row r="6" spans="2:17" ht="17" x14ac:dyDescent="0.2">
      <c r="B6" s="9" t="s">
        <v>66</v>
      </c>
      <c r="C6" s="8"/>
      <c r="D6" s="8"/>
      <c r="E6" s="8"/>
      <c r="F6" s="8">
        <f t="shared" ref="F6:F19" si="0">C6+D6+E6</f>
        <v>0</v>
      </c>
      <c r="G6" s="8">
        <v>4</v>
      </c>
      <c r="H6" s="8"/>
      <c r="I6" s="8">
        <v>4</v>
      </c>
      <c r="J6" s="8">
        <f t="shared" ref="J6:J19" si="1">G6+H6+I6</f>
        <v>8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122</v>
      </c>
    </row>
    <row r="7" spans="2:17" ht="17" x14ac:dyDescent="0.2">
      <c r="B7" s="9" t="s">
        <v>80</v>
      </c>
      <c r="C7" s="8"/>
      <c r="D7" s="8"/>
      <c r="E7" s="8"/>
      <c r="F7" s="8">
        <f t="shared" si="0"/>
        <v>0</v>
      </c>
      <c r="G7" s="8"/>
      <c r="H7" s="8"/>
      <c r="I7" s="8"/>
      <c r="J7" s="8">
        <f t="shared" si="1"/>
        <v>0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42</v>
      </c>
    </row>
    <row r="8" spans="2:17" ht="17" x14ac:dyDescent="0.2">
      <c r="B8" s="9" t="s">
        <v>91</v>
      </c>
      <c r="C8" s="8"/>
      <c r="D8" s="8"/>
      <c r="E8" s="8"/>
      <c r="F8" s="8">
        <f t="shared" si="0"/>
        <v>0</v>
      </c>
      <c r="G8" s="8">
        <v>13</v>
      </c>
      <c r="H8" s="8">
        <v>3</v>
      </c>
      <c r="I8" s="8">
        <v>4</v>
      </c>
      <c r="J8" s="8">
        <f t="shared" si="1"/>
        <v>20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53</v>
      </c>
    </row>
    <row r="9" spans="2:17" ht="17" x14ac:dyDescent="0.2">
      <c r="B9" s="9" t="s">
        <v>96</v>
      </c>
      <c r="C9" s="8"/>
      <c r="D9" s="8"/>
      <c r="E9" s="8"/>
      <c r="F9" s="8">
        <f t="shared" si="0"/>
        <v>0</v>
      </c>
      <c r="G9" s="8">
        <v>21</v>
      </c>
      <c r="H9" s="8">
        <v>11</v>
      </c>
      <c r="I9" s="8">
        <v>4</v>
      </c>
      <c r="J9" s="8">
        <f t="shared" si="1"/>
        <v>36</v>
      </c>
      <c r="K9" s="8">
        <v>1</v>
      </c>
      <c r="L9" s="8"/>
      <c r="M9" s="8">
        <v>1</v>
      </c>
      <c r="N9" s="8">
        <f t="shared" si="2"/>
        <v>2</v>
      </c>
      <c r="P9" s="10" t="s">
        <v>169</v>
      </c>
      <c r="Q9" s="8">
        <f>Q6+(0.5*Q7)</f>
        <v>143</v>
      </c>
    </row>
    <row r="10" spans="2:17" ht="15" x14ac:dyDescent="0.2">
      <c r="B10" s="9" t="s">
        <v>64</v>
      </c>
      <c r="C10" s="8"/>
      <c r="D10" s="8"/>
      <c r="E10" s="8"/>
      <c r="F10" s="8">
        <f t="shared" si="0"/>
        <v>0</v>
      </c>
      <c r="G10" s="8">
        <v>38</v>
      </c>
      <c r="H10" s="8">
        <v>12</v>
      </c>
      <c r="I10" s="8">
        <v>18</v>
      </c>
      <c r="J10" s="8">
        <f t="shared" si="1"/>
        <v>68</v>
      </c>
      <c r="K10" s="8">
        <v>4</v>
      </c>
      <c r="L10" s="8"/>
      <c r="M10" s="8"/>
      <c r="N10" s="8">
        <f t="shared" si="2"/>
        <v>4</v>
      </c>
      <c r="P10" s="11" t="s">
        <v>157</v>
      </c>
      <c r="Q10" s="12">
        <f>Q9/Q5</f>
        <v>0.65898617511520741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114</v>
      </c>
      <c r="H20" s="75">
        <f t="shared" si="3"/>
        <v>41</v>
      </c>
      <c r="I20" s="75">
        <f t="shared" si="3"/>
        <v>51</v>
      </c>
      <c r="J20" s="75">
        <f t="shared" si="3"/>
        <v>206</v>
      </c>
      <c r="K20" s="75">
        <f t="shared" si="3"/>
        <v>8</v>
      </c>
      <c r="L20" s="75">
        <f t="shared" si="3"/>
        <v>1</v>
      </c>
      <c r="M20" s="75">
        <f t="shared" si="3"/>
        <v>2</v>
      </c>
      <c r="N20" s="75">
        <f t="shared" si="3"/>
        <v>11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76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54</v>
      </c>
    </row>
    <row r="26" spans="2:17" ht="17" x14ac:dyDescent="0.2">
      <c r="B26" s="9" t="s">
        <v>58</v>
      </c>
      <c r="C26" s="8"/>
      <c r="D26" s="8"/>
      <c r="E26" s="8"/>
      <c r="F26" s="8">
        <f>C26+D26+E26</f>
        <v>0</v>
      </c>
      <c r="G26" s="8">
        <v>40</v>
      </c>
      <c r="H26" s="8">
        <v>3</v>
      </c>
      <c r="I26" s="8">
        <v>17</v>
      </c>
      <c r="J26" s="8">
        <f>G26+H26+I26</f>
        <v>60</v>
      </c>
      <c r="K26" s="8">
        <v>3</v>
      </c>
      <c r="L26" s="8"/>
      <c r="M26" s="8"/>
      <c r="N26" s="8">
        <f>K26+L26+M26</f>
        <v>3</v>
      </c>
      <c r="P26" s="10" t="s">
        <v>167</v>
      </c>
      <c r="Q26" s="8">
        <f>D32+H32+L32</f>
        <v>3</v>
      </c>
    </row>
    <row r="27" spans="2:17" ht="17" x14ac:dyDescent="0.2">
      <c r="B27" s="9" t="s">
        <v>70</v>
      </c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19</v>
      </c>
    </row>
    <row r="28" spans="2:17" ht="17" x14ac:dyDescent="0.2">
      <c r="B28" s="9" t="s">
        <v>69</v>
      </c>
      <c r="C28" s="8"/>
      <c r="D28" s="8"/>
      <c r="E28" s="8"/>
      <c r="F28" s="8">
        <f t="shared" si="4"/>
        <v>0</v>
      </c>
      <c r="G28" s="8">
        <v>9</v>
      </c>
      <c r="H28" s="8"/>
      <c r="I28" s="8">
        <v>2</v>
      </c>
      <c r="J28" s="8">
        <f t="shared" si="5"/>
        <v>11</v>
      </c>
      <c r="K28" s="8">
        <v>2</v>
      </c>
      <c r="L28" s="8"/>
      <c r="M28" s="8"/>
      <c r="N28" s="8">
        <f t="shared" si="6"/>
        <v>2</v>
      </c>
      <c r="P28" s="10" t="s">
        <v>169</v>
      </c>
      <c r="Q28" s="8">
        <f t="shared" ref="Q28" si="7">Q25+(0.5*Q26)</f>
        <v>55.5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0.73026315789473684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49</v>
      </c>
      <c r="H32" s="75">
        <f t="shared" si="9"/>
        <v>3</v>
      </c>
      <c r="I32" s="75">
        <f t="shared" si="9"/>
        <v>19</v>
      </c>
      <c r="J32" s="75">
        <f t="shared" si="9"/>
        <v>71</v>
      </c>
      <c r="K32" s="75">
        <f t="shared" si="9"/>
        <v>5</v>
      </c>
      <c r="L32" s="75">
        <f t="shared" si="9"/>
        <v>0</v>
      </c>
      <c r="M32" s="75">
        <f t="shared" si="9"/>
        <v>0</v>
      </c>
      <c r="N32" s="75">
        <f t="shared" si="9"/>
        <v>5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ht="15" customHeight="1" x14ac:dyDescent="0.2">
      <c r="B37" s="77" t="s">
        <v>158</v>
      </c>
      <c r="C37" s="77" t="s">
        <v>76</v>
      </c>
      <c r="D37" s="77">
        <v>33</v>
      </c>
    </row>
    <row r="38" spans="2:7" ht="15" customHeight="1" x14ac:dyDescent="0.2">
      <c r="B38" s="77" t="s">
        <v>159</v>
      </c>
      <c r="C38" s="77" t="s">
        <v>77</v>
      </c>
      <c r="D38" s="78">
        <v>14</v>
      </c>
    </row>
    <row r="39" spans="2:7" ht="15" customHeight="1" x14ac:dyDescent="0.2">
      <c r="B39" s="77" t="s">
        <v>160</v>
      </c>
      <c r="C39" s="77" t="s">
        <v>78</v>
      </c>
      <c r="D39" s="79">
        <v>19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-3.0531113364595628</v>
      </c>
    </row>
    <row r="42" spans="2:7" ht="15" customHeight="1" x14ac:dyDescent="0.2"/>
    <row r="43" spans="2:7" ht="15" customHeight="1" x14ac:dyDescent="0.2"/>
    <row r="44" spans="2:7" ht="15" customHeight="1" x14ac:dyDescent="0.2"/>
    <row r="45" spans="2:7" ht="15" customHeight="1" x14ac:dyDescent="0.2"/>
    <row r="46" spans="2:7" ht="15" customHeight="1" x14ac:dyDescent="0.2"/>
    <row r="47" spans="2:7" ht="15" customHeight="1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DC60-DFBA-C341-949E-513C667A2C9E}">
  <sheetPr codeName="Sheet24"/>
  <dimension ref="B3:Q45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83203125" customWidth="1"/>
    <col min="8" max="8" width="14.6640625" customWidth="1"/>
    <col min="12" max="12" width="14.6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92</v>
      </c>
      <c r="C5" s="8"/>
      <c r="D5" s="8"/>
      <c r="E5" s="8"/>
      <c r="F5" s="8">
        <f>C5+D5+E5</f>
        <v>0</v>
      </c>
      <c r="G5" s="8">
        <v>3</v>
      </c>
      <c r="H5" s="8">
        <v>6</v>
      </c>
      <c r="I5" s="8">
        <v>17</v>
      </c>
      <c r="J5" s="8">
        <f>G5+H5+I5</f>
        <v>26</v>
      </c>
      <c r="K5" s="8">
        <v>1</v>
      </c>
      <c r="L5" s="8"/>
      <c r="M5" s="8">
        <v>1</v>
      </c>
      <c r="N5" s="8">
        <f>K5+L5+M5</f>
        <v>2</v>
      </c>
      <c r="P5" s="10" t="s">
        <v>50</v>
      </c>
      <c r="Q5" s="8">
        <f>F20+J20+N20</f>
        <v>71</v>
      </c>
    </row>
    <row r="6" spans="2:17" ht="17" x14ac:dyDescent="0.2">
      <c r="B6" s="9" t="s">
        <v>68</v>
      </c>
      <c r="C6" s="8"/>
      <c r="D6" s="8"/>
      <c r="E6" s="8"/>
      <c r="F6" s="8">
        <f t="shared" ref="F6:F19" si="0">C6+D6+E6</f>
        <v>0</v>
      </c>
      <c r="G6" s="8">
        <v>4</v>
      </c>
      <c r="H6" s="8">
        <v>2</v>
      </c>
      <c r="I6" s="8">
        <v>4</v>
      </c>
      <c r="J6" s="8">
        <f t="shared" ref="J6:J19" si="1">G6+H6+I6</f>
        <v>10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26</v>
      </c>
    </row>
    <row r="7" spans="2:17" ht="17" x14ac:dyDescent="0.2">
      <c r="B7" s="9" t="s">
        <v>94</v>
      </c>
      <c r="C7" s="8"/>
      <c r="D7" s="8"/>
      <c r="E7" s="8"/>
      <c r="F7" s="8">
        <f t="shared" si="0"/>
        <v>0</v>
      </c>
      <c r="G7" s="8">
        <v>2</v>
      </c>
      <c r="H7" s="8">
        <v>5</v>
      </c>
      <c r="I7" s="8"/>
      <c r="J7" s="8">
        <f t="shared" si="1"/>
        <v>7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16</v>
      </c>
    </row>
    <row r="8" spans="2:17" ht="17" x14ac:dyDescent="0.2">
      <c r="B8" s="9" t="s">
        <v>95</v>
      </c>
      <c r="C8" s="8"/>
      <c r="D8" s="8"/>
      <c r="E8" s="8"/>
      <c r="F8" s="8">
        <f t="shared" si="0"/>
        <v>0</v>
      </c>
      <c r="G8" s="8">
        <v>14</v>
      </c>
      <c r="H8" s="8">
        <v>3</v>
      </c>
      <c r="I8" s="8">
        <v>7</v>
      </c>
      <c r="J8" s="8">
        <f t="shared" si="1"/>
        <v>24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29</v>
      </c>
    </row>
    <row r="9" spans="2:17" ht="17" x14ac:dyDescent="0.2">
      <c r="B9" s="9"/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34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0.47887323943661969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23</v>
      </c>
      <c r="H20" s="75">
        <f t="shared" si="3"/>
        <v>16</v>
      </c>
      <c r="I20" s="75">
        <f t="shared" si="3"/>
        <v>28</v>
      </c>
      <c r="J20" s="75">
        <f t="shared" si="3"/>
        <v>67</v>
      </c>
      <c r="K20" s="75">
        <f t="shared" si="3"/>
        <v>3</v>
      </c>
      <c r="L20" s="75">
        <f t="shared" si="3"/>
        <v>0</v>
      </c>
      <c r="M20" s="75">
        <f t="shared" si="3"/>
        <v>1</v>
      </c>
      <c r="N20" s="75">
        <f t="shared" si="3"/>
        <v>4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135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59</v>
      </c>
    </row>
    <row r="26" spans="2:17" ht="17" x14ac:dyDescent="0.2">
      <c r="B26" s="9" t="s">
        <v>56</v>
      </c>
      <c r="C26" s="8"/>
      <c r="D26" s="8"/>
      <c r="E26" s="8"/>
      <c r="F26" s="8">
        <f>C26+D26+E26</f>
        <v>0</v>
      </c>
      <c r="G26" s="8">
        <v>27</v>
      </c>
      <c r="H26" s="8">
        <v>9</v>
      </c>
      <c r="I26" s="8">
        <v>15</v>
      </c>
      <c r="J26" s="8">
        <f>G26+H26+I26</f>
        <v>51</v>
      </c>
      <c r="K26" s="8">
        <v>1</v>
      </c>
      <c r="L26" s="8">
        <v>2</v>
      </c>
      <c r="M26" s="8">
        <v>1</v>
      </c>
      <c r="N26" s="8">
        <f>K26+L26+M26</f>
        <v>4</v>
      </c>
      <c r="P26" s="10" t="s">
        <v>167</v>
      </c>
      <c r="Q26" s="8">
        <f>D32+H32+L32</f>
        <v>32</v>
      </c>
    </row>
    <row r="27" spans="2:17" ht="17" x14ac:dyDescent="0.2">
      <c r="B27" s="9" t="s">
        <v>91</v>
      </c>
      <c r="C27" s="8"/>
      <c r="D27" s="8"/>
      <c r="E27" s="8"/>
      <c r="F27" s="8">
        <f t="shared" ref="F27:F31" si="4">C27+D27+E27</f>
        <v>0</v>
      </c>
      <c r="G27" s="8">
        <v>6</v>
      </c>
      <c r="H27" s="8">
        <v>3</v>
      </c>
      <c r="I27" s="8">
        <v>11</v>
      </c>
      <c r="J27" s="8">
        <f t="shared" ref="J27:J31" si="5">G27+H27+I27</f>
        <v>20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44</v>
      </c>
    </row>
    <row r="28" spans="2:17" ht="17" x14ac:dyDescent="0.2">
      <c r="B28" s="9" t="s">
        <v>98</v>
      </c>
      <c r="C28" s="8"/>
      <c r="D28" s="8"/>
      <c r="E28" s="8"/>
      <c r="F28" s="8">
        <f t="shared" si="4"/>
        <v>0</v>
      </c>
      <c r="G28" s="8">
        <v>6</v>
      </c>
      <c r="H28" s="8">
        <v>7</v>
      </c>
      <c r="I28" s="8">
        <v>5</v>
      </c>
      <c r="J28" s="8">
        <f t="shared" si="5"/>
        <v>18</v>
      </c>
      <c r="K28" s="8">
        <v>2</v>
      </c>
      <c r="L28" s="8">
        <v>1</v>
      </c>
      <c r="M28" s="8"/>
      <c r="N28" s="8">
        <f t="shared" si="6"/>
        <v>3</v>
      </c>
      <c r="P28" s="10" t="s">
        <v>169</v>
      </c>
      <c r="Q28" s="8">
        <f t="shared" ref="Q28" si="7">Q25+(0.5*Q26)</f>
        <v>75</v>
      </c>
    </row>
    <row r="29" spans="2:17" ht="15" x14ac:dyDescent="0.2">
      <c r="B29" s="9" t="s">
        <v>87</v>
      </c>
      <c r="C29" s="8"/>
      <c r="D29" s="8"/>
      <c r="E29" s="8"/>
      <c r="F29" s="8">
        <f t="shared" si="4"/>
        <v>0</v>
      </c>
      <c r="G29" s="8">
        <v>11</v>
      </c>
      <c r="H29" s="8">
        <v>8</v>
      </c>
      <c r="I29" s="8">
        <v>10</v>
      </c>
      <c r="J29" s="8">
        <f t="shared" si="5"/>
        <v>29</v>
      </c>
      <c r="K29" s="8">
        <v>1</v>
      </c>
      <c r="L29" s="8">
        <v>1</v>
      </c>
      <c r="M29" s="8"/>
      <c r="N29" s="8">
        <f t="shared" si="6"/>
        <v>2</v>
      </c>
      <c r="P29" s="11" t="s">
        <v>157</v>
      </c>
      <c r="Q29" s="12">
        <f t="shared" ref="Q29" si="8">Q28/Q24</f>
        <v>0.55555555555555558</v>
      </c>
    </row>
    <row r="30" spans="2:17" ht="15" x14ac:dyDescent="0.2">
      <c r="B30" s="9" t="s">
        <v>90</v>
      </c>
      <c r="C30" s="8"/>
      <c r="D30" s="8"/>
      <c r="E30" s="8"/>
      <c r="F30" s="8">
        <f t="shared" si="4"/>
        <v>0</v>
      </c>
      <c r="G30" s="8">
        <v>4</v>
      </c>
      <c r="H30" s="8">
        <v>1</v>
      </c>
      <c r="I30" s="8">
        <v>2</v>
      </c>
      <c r="J30" s="8">
        <f t="shared" si="5"/>
        <v>7</v>
      </c>
      <c r="K30" s="8">
        <v>1</v>
      </c>
      <c r="L30" s="8"/>
      <c r="M30" s="8"/>
      <c r="N30" s="8">
        <f t="shared" si="6"/>
        <v>1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54</v>
      </c>
      <c r="H32" s="75">
        <f t="shared" si="9"/>
        <v>28</v>
      </c>
      <c r="I32" s="75">
        <f t="shared" si="9"/>
        <v>43</v>
      </c>
      <c r="J32" s="75">
        <f t="shared" si="9"/>
        <v>125</v>
      </c>
      <c r="K32" s="75">
        <f t="shared" si="9"/>
        <v>5</v>
      </c>
      <c r="L32" s="75">
        <f t="shared" si="9"/>
        <v>4</v>
      </c>
      <c r="M32" s="75">
        <f t="shared" si="9"/>
        <v>1</v>
      </c>
      <c r="N32" s="75">
        <f t="shared" si="9"/>
        <v>10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28745</v>
      </c>
    </row>
    <row r="39" spans="2:7" x14ac:dyDescent="0.2">
      <c r="B39" s="77" t="s">
        <v>159</v>
      </c>
      <c r="C39" s="77" t="s">
        <v>77</v>
      </c>
      <c r="D39" s="78">
        <v>8624</v>
      </c>
    </row>
    <row r="40" spans="2:7" x14ac:dyDescent="0.2">
      <c r="B40" s="77" t="s">
        <v>160</v>
      </c>
      <c r="C40" s="77" t="s">
        <v>78</v>
      </c>
      <c r="D40" s="79">
        <v>20121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-13.810923027957317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F54A-9C0D-344C-9C29-379475089820}">
  <sheetPr codeName="Sheet25"/>
  <dimension ref="B3:Q44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33203125" customWidth="1"/>
    <col min="8" max="8" width="14.1640625" customWidth="1"/>
    <col min="12" max="12" width="14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93</v>
      </c>
      <c r="C5" s="8"/>
      <c r="D5" s="8"/>
      <c r="E5" s="8"/>
      <c r="F5" s="8">
        <f>C5+D5+E5</f>
        <v>0</v>
      </c>
      <c r="G5" s="8">
        <v>7</v>
      </c>
      <c r="H5" s="8">
        <v>1</v>
      </c>
      <c r="I5" s="8">
        <v>5</v>
      </c>
      <c r="J5" s="8">
        <f>G5+H5+I5</f>
        <v>13</v>
      </c>
      <c r="K5" s="8">
        <v>1</v>
      </c>
      <c r="L5" s="8">
        <v>1</v>
      </c>
      <c r="M5" s="8">
        <v>1</v>
      </c>
      <c r="N5" s="8">
        <f>K5+L5+M5</f>
        <v>3</v>
      </c>
      <c r="P5" s="10" t="s">
        <v>50</v>
      </c>
      <c r="Q5" s="8">
        <f>F20+J20+N20</f>
        <v>132</v>
      </c>
    </row>
    <row r="6" spans="2:17" ht="17" x14ac:dyDescent="0.2">
      <c r="B6" s="9" t="s">
        <v>101</v>
      </c>
      <c r="C6" s="8"/>
      <c r="D6" s="8"/>
      <c r="E6" s="8"/>
      <c r="F6" s="8">
        <f t="shared" ref="F6:F19" si="0">C6+D6+E6</f>
        <v>0</v>
      </c>
      <c r="G6" s="8"/>
      <c r="H6" s="8">
        <v>1</v>
      </c>
      <c r="I6" s="8"/>
      <c r="J6" s="8">
        <f t="shared" ref="J6:J19" si="1">G6+H6+I6</f>
        <v>1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46</v>
      </c>
    </row>
    <row r="7" spans="2:17" ht="17" x14ac:dyDescent="0.2">
      <c r="B7" s="9" t="s">
        <v>62</v>
      </c>
      <c r="C7" s="8"/>
      <c r="D7" s="8"/>
      <c r="E7" s="8"/>
      <c r="F7" s="8">
        <f t="shared" si="0"/>
        <v>0</v>
      </c>
      <c r="G7" s="8">
        <v>6</v>
      </c>
      <c r="H7" s="8">
        <v>5</v>
      </c>
      <c r="I7" s="8">
        <v>11</v>
      </c>
      <c r="J7" s="8">
        <f t="shared" si="1"/>
        <v>22</v>
      </c>
      <c r="K7" s="8">
        <v>1</v>
      </c>
      <c r="L7" s="8"/>
      <c r="M7" s="8"/>
      <c r="N7" s="8">
        <f t="shared" si="2"/>
        <v>1</v>
      </c>
      <c r="P7" s="10" t="s">
        <v>167</v>
      </c>
      <c r="Q7" s="8">
        <f>D20+H20+L20</f>
        <v>25</v>
      </c>
    </row>
    <row r="8" spans="2:17" ht="17" x14ac:dyDescent="0.2">
      <c r="B8" s="9" t="s">
        <v>92</v>
      </c>
      <c r="C8" s="8"/>
      <c r="D8" s="8"/>
      <c r="E8" s="8"/>
      <c r="F8" s="8">
        <f t="shared" si="0"/>
        <v>0</v>
      </c>
      <c r="G8" s="8">
        <v>4</v>
      </c>
      <c r="H8" s="8">
        <v>3</v>
      </c>
      <c r="I8" s="8">
        <v>15</v>
      </c>
      <c r="J8" s="8">
        <f t="shared" si="1"/>
        <v>22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61</v>
      </c>
    </row>
    <row r="9" spans="2:17" ht="17" x14ac:dyDescent="0.2">
      <c r="B9" s="9" t="s">
        <v>98</v>
      </c>
      <c r="C9" s="8"/>
      <c r="D9" s="8"/>
      <c r="E9" s="8"/>
      <c r="F9" s="8">
        <f t="shared" si="0"/>
        <v>0</v>
      </c>
      <c r="G9" s="8">
        <v>2</v>
      </c>
      <c r="H9" s="8">
        <v>4</v>
      </c>
      <c r="I9" s="8">
        <v>8</v>
      </c>
      <c r="J9" s="8">
        <f t="shared" si="1"/>
        <v>14</v>
      </c>
      <c r="K9" s="8">
        <v>1</v>
      </c>
      <c r="L9" s="8"/>
      <c r="M9" s="8">
        <v>1</v>
      </c>
      <c r="N9" s="8">
        <f t="shared" si="2"/>
        <v>2</v>
      </c>
      <c r="P9" s="10" t="s">
        <v>169</v>
      </c>
      <c r="Q9" s="8">
        <f>Q6+(0.5*Q7)</f>
        <v>58.5</v>
      </c>
    </row>
    <row r="10" spans="2:17" ht="15" x14ac:dyDescent="0.2">
      <c r="B10" s="9" t="s">
        <v>64</v>
      </c>
      <c r="C10" s="8"/>
      <c r="D10" s="8"/>
      <c r="E10" s="8"/>
      <c r="F10" s="8">
        <f t="shared" si="0"/>
        <v>0</v>
      </c>
      <c r="G10" s="8">
        <v>20</v>
      </c>
      <c r="H10" s="8">
        <v>7</v>
      </c>
      <c r="I10" s="8">
        <v>18</v>
      </c>
      <c r="J10" s="8">
        <f t="shared" si="1"/>
        <v>45</v>
      </c>
      <c r="K10" s="8">
        <v>1</v>
      </c>
      <c r="L10" s="8">
        <v>1</v>
      </c>
      <c r="M10" s="8"/>
      <c r="N10" s="8">
        <f t="shared" si="2"/>
        <v>2</v>
      </c>
      <c r="P10" s="11" t="s">
        <v>157</v>
      </c>
      <c r="Q10" s="12">
        <f>Q9/Q5</f>
        <v>0.44318181818181818</v>
      </c>
    </row>
    <row r="11" spans="2:17" ht="15" x14ac:dyDescent="0.2">
      <c r="B11" s="9" t="s">
        <v>68</v>
      </c>
      <c r="C11" s="8"/>
      <c r="D11" s="8"/>
      <c r="E11" s="8"/>
      <c r="F11" s="8">
        <f t="shared" si="0"/>
        <v>0</v>
      </c>
      <c r="G11" s="8">
        <v>1</v>
      </c>
      <c r="H11" s="8">
        <v>2</v>
      </c>
      <c r="I11" s="8">
        <v>2</v>
      </c>
      <c r="J11" s="8">
        <f t="shared" si="1"/>
        <v>5</v>
      </c>
      <c r="K11" s="8">
        <v>1</v>
      </c>
      <c r="L11" s="8"/>
      <c r="M11" s="8"/>
      <c r="N11" s="8">
        <f t="shared" si="2"/>
        <v>1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40</v>
      </c>
      <c r="H20" s="75">
        <f t="shared" si="3"/>
        <v>23</v>
      </c>
      <c r="I20" s="75">
        <f t="shared" si="3"/>
        <v>59</v>
      </c>
      <c r="J20" s="75">
        <f t="shared" si="3"/>
        <v>122</v>
      </c>
      <c r="K20" s="75">
        <f t="shared" si="3"/>
        <v>6</v>
      </c>
      <c r="L20" s="75">
        <f t="shared" si="3"/>
        <v>2</v>
      </c>
      <c r="M20" s="75">
        <f t="shared" si="3"/>
        <v>2</v>
      </c>
      <c r="N20" s="75">
        <f t="shared" si="3"/>
        <v>10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2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0</v>
      </c>
    </row>
    <row r="26" spans="2:17" ht="17" x14ac:dyDescent="0.2">
      <c r="B26" s="9" t="s">
        <v>73</v>
      </c>
      <c r="C26" s="8"/>
      <c r="D26" s="8"/>
      <c r="E26" s="8"/>
      <c r="F26" s="8">
        <f>C26+D26+E26</f>
        <v>0</v>
      </c>
      <c r="G26" s="8"/>
      <c r="H26" s="8">
        <v>1</v>
      </c>
      <c r="I26" s="8">
        <v>1</v>
      </c>
      <c r="J26" s="8">
        <f>G26+H26+I26</f>
        <v>2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1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1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0.5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0.25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0</v>
      </c>
      <c r="H32" s="75">
        <f t="shared" si="9"/>
        <v>1</v>
      </c>
      <c r="I32" s="75">
        <f t="shared" si="9"/>
        <v>1</v>
      </c>
      <c r="J32" s="75">
        <f t="shared" si="9"/>
        <v>2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 t="shared" si="9"/>
        <v>0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75</v>
      </c>
    </row>
    <row r="38" spans="2:7" x14ac:dyDescent="0.2">
      <c r="B38" s="77" t="s">
        <v>159</v>
      </c>
      <c r="C38" s="77" t="s">
        <v>77</v>
      </c>
      <c r="D38" s="78">
        <v>33</v>
      </c>
    </row>
    <row r="39" spans="2:7" x14ac:dyDescent="0.2">
      <c r="B39" s="77" t="s">
        <v>160</v>
      </c>
      <c r="C39" s="77" t="s">
        <v>78</v>
      </c>
      <c r="D39" s="79">
        <v>42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-4.0443941193584534</v>
      </c>
    </row>
    <row r="44" spans="2:7" ht="15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A144-B263-D84E-8CE6-C8B8E9BA16B2}">
  <sheetPr codeName="Sheet26"/>
  <dimension ref="B3:Q43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33203125" customWidth="1"/>
    <col min="8" max="8" width="15.33203125" customWidth="1"/>
    <col min="12" max="12" width="15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59</v>
      </c>
      <c r="C5" s="8"/>
      <c r="D5" s="8">
        <v>1</v>
      </c>
      <c r="E5" s="8"/>
      <c r="F5" s="8">
        <f>C5+D5+E5</f>
        <v>1</v>
      </c>
      <c r="G5" s="8">
        <v>28</v>
      </c>
      <c r="H5" s="8">
        <v>16</v>
      </c>
      <c r="I5" s="8">
        <v>28</v>
      </c>
      <c r="J5" s="8">
        <f>G5+H5+I5</f>
        <v>72</v>
      </c>
      <c r="K5" s="8">
        <v>2</v>
      </c>
      <c r="L5" s="8"/>
      <c r="M5" s="8">
        <v>1</v>
      </c>
      <c r="N5" s="8">
        <f>K5+L5+M5</f>
        <v>3</v>
      </c>
      <c r="P5" s="10" t="s">
        <v>50</v>
      </c>
      <c r="Q5" s="8">
        <f>F20+J20+N20</f>
        <v>182</v>
      </c>
    </row>
    <row r="6" spans="2:17" ht="17" x14ac:dyDescent="0.2">
      <c r="B6" s="9" t="s">
        <v>64</v>
      </c>
      <c r="C6" s="8">
        <v>1</v>
      </c>
      <c r="D6" s="8">
        <v>5</v>
      </c>
      <c r="E6" s="8">
        <v>2</v>
      </c>
      <c r="F6" s="8">
        <f t="shared" ref="F6:F19" si="0">C6+D6+E6</f>
        <v>8</v>
      </c>
      <c r="G6" s="8">
        <v>20</v>
      </c>
      <c r="H6" s="8">
        <v>21</v>
      </c>
      <c r="I6" s="8">
        <v>29</v>
      </c>
      <c r="J6" s="8">
        <f t="shared" ref="J6:J19" si="1">G6+H6+I6</f>
        <v>70</v>
      </c>
      <c r="K6" s="8">
        <v>2</v>
      </c>
      <c r="L6" s="8"/>
      <c r="M6" s="8">
        <v>1</v>
      </c>
      <c r="N6" s="8">
        <f t="shared" ref="N6:N19" si="2">K6+L6+M6</f>
        <v>3</v>
      </c>
      <c r="P6" s="10" t="s">
        <v>148</v>
      </c>
      <c r="Q6" s="8">
        <f>C20+G20+K20</f>
        <v>66</v>
      </c>
    </row>
    <row r="7" spans="2:17" ht="17" x14ac:dyDescent="0.2">
      <c r="B7" s="9" t="s">
        <v>66</v>
      </c>
      <c r="C7" s="8"/>
      <c r="D7" s="8"/>
      <c r="E7" s="8">
        <v>1</v>
      </c>
      <c r="F7" s="8">
        <f t="shared" si="0"/>
        <v>1</v>
      </c>
      <c r="G7" s="8">
        <v>4</v>
      </c>
      <c r="H7" s="8"/>
      <c r="I7" s="8">
        <v>7</v>
      </c>
      <c r="J7" s="8">
        <f t="shared" si="1"/>
        <v>11</v>
      </c>
      <c r="K7" s="8">
        <v>1</v>
      </c>
      <c r="L7" s="8"/>
      <c r="M7" s="8"/>
      <c r="N7" s="8">
        <f t="shared" si="2"/>
        <v>1</v>
      </c>
      <c r="P7" s="10" t="s">
        <v>167</v>
      </c>
      <c r="Q7" s="8">
        <f>D20+H20+L20</f>
        <v>44</v>
      </c>
    </row>
    <row r="8" spans="2:17" ht="17" x14ac:dyDescent="0.2">
      <c r="B8" s="9" t="s">
        <v>117</v>
      </c>
      <c r="C8" s="8"/>
      <c r="D8" s="8"/>
      <c r="E8" s="8"/>
      <c r="F8" s="8">
        <f t="shared" si="0"/>
        <v>0</v>
      </c>
      <c r="G8" s="8">
        <v>8</v>
      </c>
      <c r="H8" s="8"/>
      <c r="I8" s="8">
        <v>3</v>
      </c>
      <c r="J8" s="8">
        <f t="shared" si="1"/>
        <v>11</v>
      </c>
      <c r="K8" s="8"/>
      <c r="L8" s="8">
        <v>1</v>
      </c>
      <c r="M8" s="8"/>
      <c r="N8" s="8">
        <f t="shared" si="2"/>
        <v>1</v>
      </c>
      <c r="P8" s="10" t="s">
        <v>168</v>
      </c>
      <c r="Q8" s="8">
        <f>E20+I20+M20</f>
        <v>72</v>
      </c>
    </row>
    <row r="9" spans="2:17" ht="17" x14ac:dyDescent="0.2">
      <c r="B9" s="9"/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88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0.48351648351648352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x14ac:dyDescent="0.2">
      <c r="B19" s="49"/>
      <c r="C19" s="49"/>
      <c r="D19" s="49"/>
      <c r="E19" s="49"/>
      <c r="F19" s="49">
        <f t="shared" si="0"/>
        <v>0</v>
      </c>
      <c r="G19" s="49"/>
      <c r="H19" s="49"/>
      <c r="I19" s="49"/>
      <c r="J19" s="49">
        <f t="shared" si="1"/>
        <v>0</v>
      </c>
      <c r="K19" s="49"/>
      <c r="L19" s="49"/>
      <c r="M19" s="49"/>
      <c r="N19" s="49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1</v>
      </c>
      <c r="D20" s="75">
        <f t="shared" si="3"/>
        <v>6</v>
      </c>
      <c r="E20" s="75">
        <f t="shared" si="3"/>
        <v>3</v>
      </c>
      <c r="F20" s="75">
        <f t="shared" si="3"/>
        <v>10</v>
      </c>
      <c r="G20" s="75">
        <f t="shared" si="3"/>
        <v>60</v>
      </c>
      <c r="H20" s="75">
        <f t="shared" si="3"/>
        <v>37</v>
      </c>
      <c r="I20" s="75">
        <f t="shared" si="3"/>
        <v>67</v>
      </c>
      <c r="J20" s="75">
        <f t="shared" si="3"/>
        <v>164</v>
      </c>
      <c r="K20" s="75">
        <f t="shared" si="3"/>
        <v>5</v>
      </c>
      <c r="L20" s="75">
        <f t="shared" si="3"/>
        <v>1</v>
      </c>
      <c r="M20" s="75">
        <f t="shared" si="3"/>
        <v>2</v>
      </c>
      <c r="N20" s="75">
        <f t="shared" si="3"/>
        <v>8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36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17</v>
      </c>
    </row>
    <row r="26" spans="2:17" ht="17" x14ac:dyDescent="0.2">
      <c r="B26" s="9" t="s">
        <v>74</v>
      </c>
      <c r="C26" s="8"/>
      <c r="D26" s="8"/>
      <c r="E26" s="8"/>
      <c r="F26" s="8">
        <f>C26+D26+E26</f>
        <v>0</v>
      </c>
      <c r="G26" s="8">
        <v>11</v>
      </c>
      <c r="H26" s="8">
        <v>3</v>
      </c>
      <c r="I26" s="8">
        <v>10</v>
      </c>
      <c r="J26" s="8">
        <f>G26+H26+I26</f>
        <v>24</v>
      </c>
      <c r="K26" s="8"/>
      <c r="L26" s="8">
        <v>1</v>
      </c>
      <c r="M26" s="8">
        <v>3</v>
      </c>
      <c r="N26" s="8">
        <f>K26+L26+M26</f>
        <v>4</v>
      </c>
      <c r="P26" s="10" t="s">
        <v>167</v>
      </c>
      <c r="Q26" s="8">
        <f>D32+H32+L32</f>
        <v>5</v>
      </c>
    </row>
    <row r="27" spans="2:17" ht="17" x14ac:dyDescent="0.2">
      <c r="B27" s="9" t="s">
        <v>71</v>
      </c>
      <c r="C27" s="8"/>
      <c r="D27" s="8"/>
      <c r="E27" s="8"/>
      <c r="F27" s="8">
        <f t="shared" ref="F27:F31" si="4">C27+D27+E27</f>
        <v>0</v>
      </c>
      <c r="G27" s="8">
        <v>5</v>
      </c>
      <c r="H27" s="8">
        <v>1</v>
      </c>
      <c r="I27" s="8">
        <v>1</v>
      </c>
      <c r="J27" s="8">
        <f t="shared" ref="J27:J31" si="5">G27+H27+I27</f>
        <v>7</v>
      </c>
      <c r="K27" s="8">
        <v>1</v>
      </c>
      <c r="L27" s="8"/>
      <c r="M27" s="8"/>
      <c r="N27" s="8">
        <f t="shared" ref="N27:N31" si="6">K27+L27+M27</f>
        <v>1</v>
      </c>
      <c r="P27" s="10" t="s">
        <v>168</v>
      </c>
      <c r="Q27" s="8">
        <f>E32+I32+M32</f>
        <v>14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19.5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0.54166666666666663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16</v>
      </c>
      <c r="H32" s="75">
        <f t="shared" si="9"/>
        <v>4</v>
      </c>
      <c r="I32" s="75">
        <f t="shared" si="9"/>
        <v>11</v>
      </c>
      <c r="J32" s="75">
        <f t="shared" si="9"/>
        <v>31</v>
      </c>
      <c r="K32" s="75">
        <f t="shared" si="9"/>
        <v>1</v>
      </c>
      <c r="L32" s="75">
        <f t="shared" si="9"/>
        <v>1</v>
      </c>
      <c r="M32" s="75">
        <f t="shared" si="9"/>
        <v>3</v>
      </c>
      <c r="N32" s="75">
        <f t="shared" si="9"/>
        <v>5</v>
      </c>
    </row>
    <row r="35" spans="2:7" x14ac:dyDescent="0.2">
      <c r="B35" s="75" t="s">
        <v>161</v>
      </c>
      <c r="C35" s="80" t="s">
        <v>162</v>
      </c>
      <c r="D35" s="80" t="s">
        <v>163</v>
      </c>
      <c r="F35" s="180"/>
      <c r="G35" s="180"/>
    </row>
    <row r="36" spans="2:7" x14ac:dyDescent="0.2">
      <c r="B36" s="77" t="s">
        <v>158</v>
      </c>
      <c r="C36" s="77" t="s">
        <v>76</v>
      </c>
      <c r="D36" s="77">
        <v>43</v>
      </c>
    </row>
    <row r="37" spans="2:7" x14ac:dyDescent="0.2">
      <c r="B37" s="77" t="s">
        <v>159</v>
      </c>
      <c r="C37" s="77" t="s">
        <v>77</v>
      </c>
      <c r="D37" s="78">
        <v>15</v>
      </c>
    </row>
    <row r="38" spans="2:7" x14ac:dyDescent="0.2">
      <c r="B38" s="77" t="s">
        <v>160</v>
      </c>
      <c r="C38" s="77" t="s">
        <v>78</v>
      </c>
      <c r="D38" s="79">
        <v>28</v>
      </c>
    </row>
    <row r="39" spans="2:7" x14ac:dyDescent="0.2">
      <c r="B39" s="77" t="s">
        <v>164</v>
      </c>
      <c r="C39" s="77" t="s">
        <v>79</v>
      </c>
      <c r="D39" s="77">
        <v>2</v>
      </c>
    </row>
    <row r="40" spans="2:7" x14ac:dyDescent="0.2">
      <c r="B40" s="53" t="s">
        <v>166</v>
      </c>
      <c r="C40" s="53" t="s">
        <v>139</v>
      </c>
      <c r="D40" s="76">
        <f>SIGN(D37-D38)*LOG(ABS(D37-D38)+(D36/10),D39)</f>
        <v>-4.1127001327493629</v>
      </c>
    </row>
    <row r="43" spans="2:7" ht="15" x14ac:dyDescent="0.2"/>
  </sheetData>
  <mergeCells count="9">
    <mergeCell ref="F35:G35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D1B0-31FD-F94A-895E-4B8BA0F88EB5}">
  <sheetPr codeName="Sheet27"/>
  <dimension ref="B3:Q44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33203125" customWidth="1"/>
    <col min="8" max="8" width="15.1640625" customWidth="1"/>
    <col min="12" max="12" width="13.8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92</v>
      </c>
      <c r="C5" s="8">
        <v>1</v>
      </c>
      <c r="D5" s="8"/>
      <c r="E5" s="8"/>
      <c r="F5" s="8">
        <f>C5+D5+E5</f>
        <v>1</v>
      </c>
      <c r="G5" s="8">
        <v>10</v>
      </c>
      <c r="H5" s="8">
        <v>4</v>
      </c>
      <c r="I5" s="8">
        <v>9</v>
      </c>
      <c r="J5" s="8">
        <f>G5+H5+I5</f>
        <v>23</v>
      </c>
      <c r="K5" s="8">
        <v>1</v>
      </c>
      <c r="L5" s="8"/>
      <c r="M5" s="8"/>
      <c r="N5" s="8">
        <f>K5+L5+M5</f>
        <v>1</v>
      </c>
      <c r="P5" s="10" t="s">
        <v>50</v>
      </c>
      <c r="Q5" s="8">
        <f>F20+J20+N20</f>
        <v>105</v>
      </c>
    </row>
    <row r="6" spans="2:17" ht="17" x14ac:dyDescent="0.2">
      <c r="B6" s="9" t="s">
        <v>57</v>
      </c>
      <c r="C6" s="8"/>
      <c r="D6" s="8"/>
      <c r="E6" s="8"/>
      <c r="F6" s="8">
        <f t="shared" ref="F6:F19" si="0">C6+D6+E6</f>
        <v>0</v>
      </c>
      <c r="G6" s="8">
        <v>13</v>
      </c>
      <c r="H6" s="8">
        <v>5</v>
      </c>
      <c r="I6" s="8">
        <v>5</v>
      </c>
      <c r="J6" s="8">
        <f t="shared" ref="J6:J19" si="1">G6+H6+I6</f>
        <v>23</v>
      </c>
      <c r="K6" s="8">
        <v>2</v>
      </c>
      <c r="L6" s="8"/>
      <c r="M6" s="8"/>
      <c r="N6" s="8">
        <f t="shared" ref="N6:N19" si="2">K6+L6+M6</f>
        <v>2</v>
      </c>
      <c r="P6" s="10" t="s">
        <v>148</v>
      </c>
      <c r="Q6" s="8">
        <f>C20+G20+K20</f>
        <v>56</v>
      </c>
    </row>
    <row r="7" spans="2:17" ht="17" x14ac:dyDescent="0.2">
      <c r="B7" s="9" t="s">
        <v>90</v>
      </c>
      <c r="C7" s="8">
        <v>1</v>
      </c>
      <c r="D7" s="8"/>
      <c r="E7" s="8"/>
      <c r="F7" s="8">
        <f t="shared" si="0"/>
        <v>1</v>
      </c>
      <c r="G7" s="8">
        <v>2</v>
      </c>
      <c r="H7" s="8">
        <v>1</v>
      </c>
      <c r="I7" s="8">
        <v>5</v>
      </c>
      <c r="J7" s="8">
        <f t="shared" si="1"/>
        <v>8</v>
      </c>
      <c r="K7" s="8">
        <v>1</v>
      </c>
      <c r="L7" s="8"/>
      <c r="M7" s="8"/>
      <c r="N7" s="8">
        <f t="shared" si="2"/>
        <v>1</v>
      </c>
      <c r="P7" s="10" t="s">
        <v>167</v>
      </c>
      <c r="Q7" s="8">
        <f>D20+H20+L20</f>
        <v>21</v>
      </c>
    </row>
    <row r="8" spans="2:17" ht="17" x14ac:dyDescent="0.2">
      <c r="B8" s="9" t="s">
        <v>69</v>
      </c>
      <c r="C8" s="8"/>
      <c r="D8" s="8">
        <v>1</v>
      </c>
      <c r="E8" s="8"/>
      <c r="F8" s="8">
        <f t="shared" si="0"/>
        <v>1</v>
      </c>
      <c r="G8" s="8">
        <v>3</v>
      </c>
      <c r="H8" s="8">
        <v>5</v>
      </c>
      <c r="I8" s="8">
        <v>2</v>
      </c>
      <c r="J8" s="8">
        <f t="shared" si="1"/>
        <v>10</v>
      </c>
      <c r="K8" s="8">
        <v>2</v>
      </c>
      <c r="L8" s="8"/>
      <c r="M8" s="8"/>
      <c r="N8" s="8">
        <f t="shared" si="2"/>
        <v>2</v>
      </c>
      <c r="P8" s="10" t="s">
        <v>168</v>
      </c>
      <c r="Q8" s="8">
        <f>E20+I20+M20</f>
        <v>28</v>
      </c>
    </row>
    <row r="9" spans="2:17" ht="17" x14ac:dyDescent="0.2">
      <c r="B9" s="9" t="s">
        <v>74</v>
      </c>
      <c r="C9" s="8"/>
      <c r="D9" s="8"/>
      <c r="E9" s="8"/>
      <c r="F9" s="8">
        <f t="shared" si="0"/>
        <v>0</v>
      </c>
      <c r="G9" s="8">
        <v>16</v>
      </c>
      <c r="H9" s="8">
        <v>5</v>
      </c>
      <c r="I9" s="8">
        <v>7</v>
      </c>
      <c r="J9" s="8">
        <f t="shared" si="1"/>
        <v>28</v>
      </c>
      <c r="K9" s="8">
        <v>4</v>
      </c>
      <c r="L9" s="8"/>
      <c r="M9" s="8"/>
      <c r="N9" s="8">
        <f t="shared" si="2"/>
        <v>4</v>
      </c>
      <c r="P9" s="10" t="s">
        <v>169</v>
      </c>
      <c r="Q9" s="8">
        <f>Q6+(0.5*Q7)</f>
        <v>66.5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0.6333333333333333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2</v>
      </c>
      <c r="D20" s="75">
        <f t="shared" si="3"/>
        <v>1</v>
      </c>
      <c r="E20" s="75">
        <f t="shared" si="3"/>
        <v>0</v>
      </c>
      <c r="F20" s="75">
        <f t="shared" si="3"/>
        <v>3</v>
      </c>
      <c r="G20" s="75">
        <f t="shared" si="3"/>
        <v>44</v>
      </c>
      <c r="H20" s="75">
        <f t="shared" si="3"/>
        <v>20</v>
      </c>
      <c r="I20" s="75">
        <f t="shared" si="3"/>
        <v>28</v>
      </c>
      <c r="J20" s="75">
        <f t="shared" si="3"/>
        <v>92</v>
      </c>
      <c r="K20" s="75">
        <f t="shared" si="3"/>
        <v>10</v>
      </c>
      <c r="L20" s="75">
        <f t="shared" si="3"/>
        <v>0</v>
      </c>
      <c r="M20" s="75">
        <f t="shared" si="3"/>
        <v>0</v>
      </c>
      <c r="N20" s="75">
        <f t="shared" si="3"/>
        <v>10</v>
      </c>
    </row>
    <row r="24" spans="2:17" ht="30" customHeight="1" x14ac:dyDescent="0.2">
      <c r="B24" s="182" t="s">
        <v>155</v>
      </c>
      <c r="C24" s="181" t="s">
        <v>151</v>
      </c>
      <c r="D24" s="181"/>
      <c r="E24" s="181"/>
      <c r="F24" s="181"/>
      <c r="G24" s="181" t="s">
        <v>152</v>
      </c>
      <c r="H24" s="181"/>
      <c r="I24" s="181"/>
      <c r="J24" s="181"/>
      <c r="K24" s="181" t="s">
        <v>153</v>
      </c>
      <c r="L24" s="181"/>
      <c r="M24" s="181"/>
      <c r="N24" s="181"/>
      <c r="P24" s="10" t="s">
        <v>53</v>
      </c>
      <c r="Q24" s="8">
        <f>F32+J32+N32</f>
        <v>0</v>
      </c>
    </row>
    <row r="25" spans="2:17" ht="30" customHeight="1" x14ac:dyDescent="0.2">
      <c r="B25" s="183"/>
      <c r="C25" s="8" t="s">
        <v>148</v>
      </c>
      <c r="D25" s="8" t="s">
        <v>149</v>
      </c>
      <c r="E25" s="8" t="s">
        <v>150</v>
      </c>
      <c r="F25" s="8" t="s">
        <v>55</v>
      </c>
      <c r="G25" s="8" t="s">
        <v>148</v>
      </c>
      <c r="H25" s="8" t="s">
        <v>149</v>
      </c>
      <c r="I25" s="8" t="s">
        <v>150</v>
      </c>
      <c r="J25" s="8" t="s">
        <v>55</v>
      </c>
      <c r="K25" s="8" t="s">
        <v>148</v>
      </c>
      <c r="L25" s="8" t="s">
        <v>149</v>
      </c>
      <c r="M25" s="8" t="s">
        <v>150</v>
      </c>
      <c r="N25" s="8" t="s">
        <v>55</v>
      </c>
      <c r="P25" s="10" t="s">
        <v>148</v>
      </c>
      <c r="Q25" s="8">
        <f>C32+G32+K32</f>
        <v>0</v>
      </c>
    </row>
    <row r="26" spans="2:17" ht="17" x14ac:dyDescent="0.2">
      <c r="B26" s="9"/>
      <c r="C26" s="8"/>
      <c r="D26" s="8"/>
      <c r="E26" s="8"/>
      <c r="F26" s="8">
        <f>C26+D26+E26</f>
        <v>0</v>
      </c>
      <c r="G26" s="8"/>
      <c r="H26" s="8"/>
      <c r="I26" s="8"/>
      <c r="J26" s="8">
        <f>G26+H26+I26</f>
        <v>0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0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0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0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 t="e">
        <f t="shared" ref="Q29" si="8">Q28/Q24</f>
        <v>#DIV/0!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0</v>
      </c>
      <c r="H32" s="75">
        <f t="shared" si="9"/>
        <v>0</v>
      </c>
      <c r="I32" s="75">
        <f t="shared" si="9"/>
        <v>0</v>
      </c>
      <c r="J32" s="75">
        <f t="shared" si="9"/>
        <v>0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 t="shared" si="9"/>
        <v>0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429150</v>
      </c>
    </row>
    <row r="38" spans="2:7" x14ac:dyDescent="0.2">
      <c r="B38" s="77" t="s">
        <v>159</v>
      </c>
      <c r="C38" s="77" t="s">
        <v>77</v>
      </c>
      <c r="D38" s="78">
        <v>210284</v>
      </c>
    </row>
    <row r="39" spans="2:7" x14ac:dyDescent="0.2">
      <c r="B39" s="77" t="s">
        <v>160</v>
      </c>
      <c r="C39" s="77" t="s">
        <v>78</v>
      </c>
      <c r="D39" s="79">
        <v>218866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-15.65220076890961</v>
      </c>
    </row>
    <row r="43" spans="2:7" ht="15" x14ac:dyDescent="0.2"/>
    <row r="44" spans="2:7" ht="15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5DA0-EA96-3043-A7A2-A887713F1519}">
  <sheetPr codeName="Sheet28"/>
  <dimension ref="B3:Q45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6640625" customWidth="1"/>
    <col min="8" max="8" width="15.83203125" customWidth="1"/>
    <col min="12" max="12" width="14.6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66</v>
      </c>
      <c r="C5" s="8"/>
      <c r="D5" s="8"/>
      <c r="E5" s="8"/>
      <c r="F5" s="8">
        <f>C5+D5+E5</f>
        <v>0</v>
      </c>
      <c r="G5" s="8">
        <v>4</v>
      </c>
      <c r="H5" s="8">
        <v>1</v>
      </c>
      <c r="I5" s="8"/>
      <c r="J5" s="8">
        <f>G5+H5+I5</f>
        <v>5</v>
      </c>
      <c r="K5" s="8">
        <v>1</v>
      </c>
      <c r="L5" s="8"/>
      <c r="M5" s="8"/>
      <c r="N5" s="8">
        <f>K5+L5+M5</f>
        <v>1</v>
      </c>
      <c r="P5" s="10" t="s">
        <v>50</v>
      </c>
      <c r="Q5" s="8">
        <f>F20+J20+N20</f>
        <v>76</v>
      </c>
    </row>
    <row r="6" spans="2:17" ht="17" x14ac:dyDescent="0.2">
      <c r="B6" s="9" t="s">
        <v>80</v>
      </c>
      <c r="C6" s="8"/>
      <c r="D6" s="8"/>
      <c r="E6" s="8"/>
      <c r="F6" s="8">
        <f t="shared" ref="F6:F19" si="0">C6+D6+E6</f>
        <v>0</v>
      </c>
      <c r="G6" s="8"/>
      <c r="H6" s="8"/>
      <c r="I6" s="8"/>
      <c r="J6" s="8">
        <f t="shared" ref="J6:J19" si="1">G6+H6+I6</f>
        <v>0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45</v>
      </c>
    </row>
    <row r="7" spans="2:17" ht="17" x14ac:dyDescent="0.2">
      <c r="B7" s="9" t="s">
        <v>91</v>
      </c>
      <c r="C7" s="8"/>
      <c r="D7" s="8"/>
      <c r="E7" s="8"/>
      <c r="F7" s="8">
        <f t="shared" si="0"/>
        <v>0</v>
      </c>
      <c r="G7" s="8">
        <v>8</v>
      </c>
      <c r="H7" s="8">
        <v>5</v>
      </c>
      <c r="I7" s="8">
        <v>7</v>
      </c>
      <c r="J7" s="8">
        <f t="shared" si="1"/>
        <v>20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15</v>
      </c>
    </row>
    <row r="8" spans="2:17" ht="17" x14ac:dyDescent="0.2">
      <c r="B8" s="9" t="s">
        <v>64</v>
      </c>
      <c r="C8" s="8"/>
      <c r="D8" s="8"/>
      <c r="E8" s="8"/>
      <c r="F8" s="8">
        <f t="shared" si="0"/>
        <v>0</v>
      </c>
      <c r="G8" s="8">
        <v>31</v>
      </c>
      <c r="H8" s="8">
        <v>8</v>
      </c>
      <c r="I8" s="8">
        <v>8</v>
      </c>
      <c r="J8" s="8">
        <f t="shared" si="1"/>
        <v>47</v>
      </c>
      <c r="K8" s="8">
        <v>1</v>
      </c>
      <c r="L8" s="8">
        <v>1</v>
      </c>
      <c r="M8" s="8">
        <v>1</v>
      </c>
      <c r="N8" s="8">
        <f t="shared" si="2"/>
        <v>3</v>
      </c>
      <c r="P8" s="10" t="s">
        <v>168</v>
      </c>
      <c r="Q8" s="8">
        <f>E20+I20+M20</f>
        <v>16</v>
      </c>
    </row>
    <row r="9" spans="2:17" ht="17" x14ac:dyDescent="0.2">
      <c r="B9" s="9"/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52.5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0.69078947368421051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43</v>
      </c>
      <c r="H20" s="75">
        <f t="shared" si="3"/>
        <v>14</v>
      </c>
      <c r="I20" s="75">
        <f t="shared" si="3"/>
        <v>15</v>
      </c>
      <c r="J20" s="75">
        <f t="shared" si="3"/>
        <v>72</v>
      </c>
      <c r="K20" s="75">
        <f t="shared" si="3"/>
        <v>2</v>
      </c>
      <c r="L20" s="75">
        <f t="shared" si="3"/>
        <v>1</v>
      </c>
      <c r="M20" s="75">
        <f t="shared" si="3"/>
        <v>1</v>
      </c>
      <c r="N20" s="75">
        <f t="shared" si="3"/>
        <v>4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32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20</v>
      </c>
    </row>
    <row r="26" spans="2:17" ht="17" x14ac:dyDescent="0.2">
      <c r="B26" s="9" t="s">
        <v>57</v>
      </c>
      <c r="C26" s="8"/>
      <c r="D26" s="8"/>
      <c r="E26" s="8"/>
      <c r="F26" s="8">
        <f>C26+D26+E26</f>
        <v>0</v>
      </c>
      <c r="G26" s="8">
        <v>13</v>
      </c>
      <c r="H26" s="8">
        <v>2</v>
      </c>
      <c r="I26" s="8">
        <v>6</v>
      </c>
      <c r="J26" s="8">
        <f>G26+H26+I26</f>
        <v>21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3</v>
      </c>
    </row>
    <row r="27" spans="2:17" ht="17" x14ac:dyDescent="0.2">
      <c r="B27" s="9" t="s">
        <v>84</v>
      </c>
      <c r="C27" s="8"/>
      <c r="D27" s="8"/>
      <c r="E27" s="8"/>
      <c r="F27" s="8">
        <f t="shared" ref="F27:F31" si="4">C27+D27+E27</f>
        <v>0</v>
      </c>
      <c r="G27" s="8">
        <v>4</v>
      </c>
      <c r="H27" s="8">
        <v>1</v>
      </c>
      <c r="I27" s="8">
        <v>3</v>
      </c>
      <c r="J27" s="8">
        <f t="shared" ref="J27:J31" si="5">G27+H27+I27</f>
        <v>8</v>
      </c>
      <c r="K27" s="8">
        <v>2</v>
      </c>
      <c r="L27" s="8"/>
      <c r="M27" s="8"/>
      <c r="N27" s="8">
        <f t="shared" ref="N27:N31" si="6">K27+L27+M27</f>
        <v>2</v>
      </c>
      <c r="P27" s="10" t="s">
        <v>168</v>
      </c>
      <c r="Q27" s="8">
        <f>E32+I32+M32</f>
        <v>9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21.5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0.671875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17</v>
      </c>
      <c r="H32" s="75">
        <f t="shared" si="9"/>
        <v>3</v>
      </c>
      <c r="I32" s="75">
        <f t="shared" si="9"/>
        <v>9</v>
      </c>
      <c r="J32" s="75">
        <f t="shared" si="9"/>
        <v>29</v>
      </c>
      <c r="K32" s="75">
        <f t="shared" si="9"/>
        <v>3</v>
      </c>
      <c r="L32" s="75">
        <f t="shared" si="9"/>
        <v>0</v>
      </c>
      <c r="M32" s="75">
        <f t="shared" si="9"/>
        <v>0</v>
      </c>
      <c r="N32" s="75">
        <f t="shared" si="9"/>
        <v>3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10</v>
      </c>
    </row>
    <row r="39" spans="2:7" x14ac:dyDescent="0.2">
      <c r="B39" s="77" t="s">
        <v>159</v>
      </c>
      <c r="C39" s="77" t="s">
        <v>77</v>
      </c>
      <c r="D39" s="78">
        <v>3</v>
      </c>
    </row>
    <row r="40" spans="2:7" x14ac:dyDescent="0.2">
      <c r="B40" s="77" t="s">
        <v>160</v>
      </c>
      <c r="C40" s="77" t="s">
        <v>78</v>
      </c>
      <c r="D40" s="79">
        <v>7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-2.3219280948873622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D804-43A2-2446-B204-FE855D81A2D4}">
  <sheetPr codeName="Sheet29"/>
  <dimension ref="B3:Q45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" customWidth="1"/>
    <col min="8" max="8" width="15.5" customWidth="1"/>
    <col min="12" max="12" width="15.6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92</v>
      </c>
      <c r="C5" s="8"/>
      <c r="D5" s="8"/>
      <c r="E5" s="8"/>
      <c r="F5" s="8">
        <f>C5+D5+E5</f>
        <v>0</v>
      </c>
      <c r="G5" s="8">
        <v>8</v>
      </c>
      <c r="H5" s="8">
        <v>6</v>
      </c>
      <c r="I5" s="8">
        <v>11</v>
      </c>
      <c r="J5" s="8">
        <f>G5+H5+I5</f>
        <v>25</v>
      </c>
      <c r="K5" s="8"/>
      <c r="L5" s="8">
        <v>1</v>
      </c>
      <c r="M5" s="8"/>
      <c r="N5" s="8">
        <f>K5+L5+M5</f>
        <v>1</v>
      </c>
      <c r="P5" s="10" t="s">
        <v>50</v>
      </c>
      <c r="Q5" s="8">
        <f>F20+J20+N20</f>
        <v>128</v>
      </c>
    </row>
    <row r="6" spans="2:17" ht="17" x14ac:dyDescent="0.2">
      <c r="B6" s="9" t="s">
        <v>84</v>
      </c>
      <c r="C6" s="8"/>
      <c r="D6" s="8">
        <v>1</v>
      </c>
      <c r="E6" s="8"/>
      <c r="F6" s="8">
        <f t="shared" ref="F6:F19" si="0">C6+D6+E6</f>
        <v>1</v>
      </c>
      <c r="G6" s="8">
        <v>3</v>
      </c>
      <c r="H6" s="8">
        <v>1</v>
      </c>
      <c r="I6" s="8">
        <v>4</v>
      </c>
      <c r="J6" s="8">
        <f t="shared" ref="J6:J19" si="1">G6+H6+I6</f>
        <v>8</v>
      </c>
      <c r="K6" s="8">
        <v>1</v>
      </c>
      <c r="L6" s="8">
        <v>1</v>
      </c>
      <c r="M6" s="8"/>
      <c r="N6" s="8">
        <f t="shared" ref="N6:N19" si="2">K6+L6+M6</f>
        <v>2</v>
      </c>
      <c r="P6" s="10" t="s">
        <v>148</v>
      </c>
      <c r="Q6" s="8">
        <f>C20+G20+K20</f>
        <v>73</v>
      </c>
    </row>
    <row r="7" spans="2:17" ht="17" x14ac:dyDescent="0.2">
      <c r="B7" s="9" t="s">
        <v>70</v>
      </c>
      <c r="C7" s="8"/>
      <c r="D7" s="8"/>
      <c r="E7" s="8"/>
      <c r="F7" s="8">
        <f t="shared" si="0"/>
        <v>0</v>
      </c>
      <c r="G7" s="8"/>
      <c r="H7" s="8"/>
      <c r="I7" s="8"/>
      <c r="J7" s="8">
        <f t="shared" si="1"/>
        <v>0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22</v>
      </c>
    </row>
    <row r="8" spans="2:17" ht="17" x14ac:dyDescent="0.2">
      <c r="B8" s="9" t="s">
        <v>59</v>
      </c>
      <c r="C8" s="8"/>
      <c r="D8" s="8">
        <v>1</v>
      </c>
      <c r="E8" s="8"/>
      <c r="F8" s="8">
        <f t="shared" si="0"/>
        <v>1</v>
      </c>
      <c r="G8" s="8">
        <v>40</v>
      </c>
      <c r="H8" s="8">
        <v>7</v>
      </c>
      <c r="I8" s="8">
        <v>6</v>
      </c>
      <c r="J8" s="8">
        <f t="shared" si="1"/>
        <v>53</v>
      </c>
      <c r="K8" s="8">
        <v>1</v>
      </c>
      <c r="L8" s="8"/>
      <c r="M8" s="8">
        <v>2</v>
      </c>
      <c r="N8" s="8">
        <f t="shared" si="2"/>
        <v>3</v>
      </c>
      <c r="P8" s="10" t="s">
        <v>168</v>
      </c>
      <c r="Q8" s="8">
        <f>E20+I20+M20</f>
        <v>33</v>
      </c>
    </row>
    <row r="9" spans="2:17" ht="17" x14ac:dyDescent="0.2">
      <c r="B9" s="9" t="s">
        <v>60</v>
      </c>
      <c r="C9" s="8"/>
      <c r="D9" s="8"/>
      <c r="E9" s="8"/>
      <c r="F9" s="8">
        <f t="shared" si="0"/>
        <v>0</v>
      </c>
      <c r="G9" s="8"/>
      <c r="H9" s="8">
        <v>1</v>
      </c>
      <c r="I9" s="8">
        <v>4</v>
      </c>
      <c r="J9" s="8">
        <f t="shared" si="1"/>
        <v>5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84</v>
      </c>
    </row>
    <row r="10" spans="2:17" ht="15" x14ac:dyDescent="0.2">
      <c r="B10" s="9" t="s">
        <v>94</v>
      </c>
      <c r="C10" s="8"/>
      <c r="D10" s="8"/>
      <c r="E10" s="8"/>
      <c r="F10" s="8">
        <f t="shared" si="0"/>
        <v>0</v>
      </c>
      <c r="G10" s="8">
        <v>5</v>
      </c>
      <c r="H10" s="8"/>
      <c r="I10" s="8">
        <v>1</v>
      </c>
      <c r="J10" s="8">
        <f t="shared" si="1"/>
        <v>6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0.65625</v>
      </c>
    </row>
    <row r="11" spans="2:17" ht="15" x14ac:dyDescent="0.2">
      <c r="B11" s="9" t="s">
        <v>95</v>
      </c>
      <c r="C11" s="8"/>
      <c r="D11" s="8"/>
      <c r="E11" s="8"/>
      <c r="F11" s="8">
        <f t="shared" si="0"/>
        <v>0</v>
      </c>
      <c r="G11" s="8">
        <v>14</v>
      </c>
      <c r="H11" s="8">
        <v>3</v>
      </c>
      <c r="I11" s="8">
        <v>5</v>
      </c>
      <c r="J11" s="8">
        <f t="shared" si="1"/>
        <v>22</v>
      </c>
      <c r="K11" s="8">
        <v>1</v>
      </c>
      <c r="L11" s="8"/>
      <c r="M11" s="8"/>
      <c r="N11" s="8">
        <f t="shared" si="2"/>
        <v>1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x14ac:dyDescent="0.2">
      <c r="B19" s="49"/>
      <c r="C19" s="49"/>
      <c r="D19" s="49"/>
      <c r="E19" s="49"/>
      <c r="F19" s="49">
        <f t="shared" si="0"/>
        <v>0</v>
      </c>
      <c r="G19" s="49"/>
      <c r="H19" s="49"/>
      <c r="I19" s="49"/>
      <c r="J19" s="49">
        <f t="shared" si="1"/>
        <v>0</v>
      </c>
      <c r="K19" s="49"/>
      <c r="L19" s="49"/>
      <c r="M19" s="49"/>
      <c r="N19" s="49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2</v>
      </c>
      <c r="E20" s="75">
        <f t="shared" si="3"/>
        <v>0</v>
      </c>
      <c r="F20" s="75">
        <f t="shared" si="3"/>
        <v>2</v>
      </c>
      <c r="G20" s="75">
        <f t="shared" si="3"/>
        <v>70</v>
      </c>
      <c r="H20" s="75">
        <f t="shared" si="3"/>
        <v>18</v>
      </c>
      <c r="I20" s="75">
        <f t="shared" si="3"/>
        <v>31</v>
      </c>
      <c r="J20" s="75">
        <f t="shared" si="3"/>
        <v>119</v>
      </c>
      <c r="K20" s="75">
        <f t="shared" si="3"/>
        <v>3</v>
      </c>
      <c r="L20" s="75">
        <f t="shared" si="3"/>
        <v>2</v>
      </c>
      <c r="M20" s="75">
        <f t="shared" si="3"/>
        <v>2</v>
      </c>
      <c r="N20" s="75">
        <f t="shared" si="3"/>
        <v>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73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41</v>
      </c>
    </row>
    <row r="26" spans="2:17" ht="17" x14ac:dyDescent="0.2">
      <c r="B26" s="9" t="s">
        <v>62</v>
      </c>
      <c r="C26" s="8"/>
      <c r="D26" s="8"/>
      <c r="E26" s="8"/>
      <c r="F26" s="8">
        <f>C26+D26+E26</f>
        <v>0</v>
      </c>
      <c r="G26" s="8">
        <v>14</v>
      </c>
      <c r="H26" s="8">
        <v>3</v>
      </c>
      <c r="I26" s="8">
        <v>6</v>
      </c>
      <c r="J26" s="8">
        <f>G26+H26+I26</f>
        <v>23</v>
      </c>
      <c r="K26" s="8">
        <v>2</v>
      </c>
      <c r="L26" s="8"/>
      <c r="M26" s="8"/>
      <c r="N26" s="8">
        <f>K26+L26+M26</f>
        <v>2</v>
      </c>
      <c r="P26" s="10" t="s">
        <v>167</v>
      </c>
      <c r="Q26" s="8">
        <f>D32+H32+L32</f>
        <v>11</v>
      </c>
    </row>
    <row r="27" spans="2:17" ht="17" x14ac:dyDescent="0.2">
      <c r="B27" s="9" t="s">
        <v>91</v>
      </c>
      <c r="C27" s="8"/>
      <c r="D27" s="8"/>
      <c r="E27" s="8"/>
      <c r="F27" s="8">
        <f t="shared" ref="F27:F31" si="4">C27+D27+E27</f>
        <v>0</v>
      </c>
      <c r="G27" s="8">
        <v>9</v>
      </c>
      <c r="H27" s="8">
        <v>3</v>
      </c>
      <c r="I27" s="8">
        <v>8</v>
      </c>
      <c r="J27" s="8">
        <f t="shared" ref="J27:J31" si="5">G27+H27+I27</f>
        <v>20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21</v>
      </c>
    </row>
    <row r="28" spans="2:17" ht="17" x14ac:dyDescent="0.2">
      <c r="B28" s="9" t="s">
        <v>100</v>
      </c>
      <c r="C28" s="8"/>
      <c r="D28" s="8"/>
      <c r="E28" s="8"/>
      <c r="F28" s="8">
        <f t="shared" si="4"/>
        <v>0</v>
      </c>
      <c r="G28" s="8">
        <v>6</v>
      </c>
      <c r="H28" s="8"/>
      <c r="I28" s="8">
        <v>3</v>
      </c>
      <c r="J28" s="8">
        <f>G28+H28+I28</f>
        <v>9</v>
      </c>
      <c r="K28" s="8">
        <v>1</v>
      </c>
      <c r="L28" s="8">
        <v>1</v>
      </c>
      <c r="M28" s="8"/>
      <c r="N28" s="8">
        <f t="shared" si="6"/>
        <v>2</v>
      </c>
      <c r="P28" s="10" t="s">
        <v>169</v>
      </c>
      <c r="Q28" s="8">
        <f t="shared" ref="Q28" si="7">Q25+(0.5*Q26)</f>
        <v>46.5</v>
      </c>
    </row>
    <row r="29" spans="2:17" ht="15" x14ac:dyDescent="0.2">
      <c r="B29" s="9" t="s">
        <v>98</v>
      </c>
      <c r="C29" s="8"/>
      <c r="D29" s="8"/>
      <c r="E29" s="8"/>
      <c r="F29" s="8">
        <f t="shared" si="4"/>
        <v>0</v>
      </c>
      <c r="G29" s="8">
        <v>7</v>
      </c>
      <c r="H29" s="8">
        <v>4</v>
      </c>
      <c r="I29" s="8">
        <v>4</v>
      </c>
      <c r="J29" s="8">
        <f>G29+H29+I29</f>
        <v>15</v>
      </c>
      <c r="K29" s="8">
        <v>2</v>
      </c>
      <c r="L29" s="8"/>
      <c r="M29" s="8"/>
      <c r="N29" s="8">
        <f t="shared" si="6"/>
        <v>2</v>
      </c>
      <c r="P29" s="11" t="s">
        <v>157</v>
      </c>
      <c r="Q29" s="12">
        <f t="shared" ref="Q29" si="8">Q28/Q24</f>
        <v>0.63698630136986301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36</v>
      </c>
      <c r="H32" s="75">
        <f t="shared" si="9"/>
        <v>10</v>
      </c>
      <c r="I32" s="75">
        <f t="shared" si="9"/>
        <v>21</v>
      </c>
      <c r="J32" s="75">
        <f t="shared" si="9"/>
        <v>67</v>
      </c>
      <c r="K32" s="75">
        <f t="shared" si="9"/>
        <v>5</v>
      </c>
      <c r="L32" s="75">
        <f t="shared" si="9"/>
        <v>1</v>
      </c>
      <c r="M32" s="75">
        <f t="shared" si="9"/>
        <v>0</v>
      </c>
      <c r="N32" s="75">
        <f t="shared" si="9"/>
        <v>6</v>
      </c>
    </row>
    <row r="37" spans="2:7" x14ac:dyDescent="0.2">
      <c r="B37" s="75" t="s">
        <v>161</v>
      </c>
      <c r="C37" s="80" t="s">
        <v>162</v>
      </c>
      <c r="D37" s="80" t="s">
        <v>163</v>
      </c>
      <c r="F37" s="180"/>
      <c r="G37" s="180"/>
    </row>
    <row r="38" spans="2:7" x14ac:dyDescent="0.2">
      <c r="B38" s="77" t="s">
        <v>158</v>
      </c>
      <c r="C38" s="77" t="s">
        <v>76</v>
      </c>
      <c r="D38" s="77">
        <v>1253</v>
      </c>
    </row>
    <row r="39" spans="2:7" x14ac:dyDescent="0.2">
      <c r="B39" s="77" t="s">
        <v>159</v>
      </c>
      <c r="C39" s="77" t="s">
        <v>77</v>
      </c>
      <c r="D39" s="78">
        <v>639</v>
      </c>
    </row>
    <row r="40" spans="2:7" x14ac:dyDescent="0.2">
      <c r="B40" s="77" t="s">
        <v>160</v>
      </c>
      <c r="C40" s="77" t="s">
        <v>78</v>
      </c>
      <c r="D40" s="79">
        <v>614</v>
      </c>
    </row>
    <row r="41" spans="2:7" x14ac:dyDescent="0.2">
      <c r="B41" s="77" t="s">
        <v>164</v>
      </c>
      <c r="C41" s="77" t="s">
        <v>79</v>
      </c>
      <c r="D41" s="77">
        <v>2</v>
      </c>
    </row>
    <row r="42" spans="2:7" x14ac:dyDescent="0.2">
      <c r="B42" s="53" t="s">
        <v>166</v>
      </c>
      <c r="C42" s="53" t="s">
        <v>139</v>
      </c>
      <c r="D42" s="76">
        <f>SIGN(D39-D40)*LOG(ABS(D39-D40)+(D38/10),D41)</f>
        <v>7.2317011990290023</v>
      </c>
    </row>
    <row r="45" spans="2:7" ht="15" x14ac:dyDescent="0.2"/>
  </sheetData>
  <mergeCells count="9">
    <mergeCell ref="F37:G37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FEC6-82C4-2548-87E8-9371233DCF66}">
  <sheetPr codeName="Sheet30"/>
  <dimension ref="B3:Q47"/>
  <sheetViews>
    <sheetView topLeftCell="A2"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33203125" customWidth="1"/>
    <col min="8" max="8" width="15.1640625" customWidth="1"/>
    <col min="12" max="12" width="17.16406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92</v>
      </c>
      <c r="C5" s="8"/>
      <c r="D5" s="8"/>
      <c r="E5" s="8"/>
      <c r="F5" s="8">
        <f>C5+D5+E5</f>
        <v>0</v>
      </c>
      <c r="G5" s="8">
        <v>9</v>
      </c>
      <c r="H5" s="8">
        <v>3</v>
      </c>
      <c r="I5" s="8">
        <v>16</v>
      </c>
      <c r="J5" s="8">
        <f>G5+H5+I5</f>
        <v>28</v>
      </c>
      <c r="K5" s="8">
        <v>1</v>
      </c>
      <c r="L5" s="8"/>
      <c r="M5" s="8"/>
      <c r="N5" s="8">
        <f>K5+L5+M5</f>
        <v>1</v>
      </c>
      <c r="P5" s="10" t="s">
        <v>50</v>
      </c>
      <c r="Q5" s="8">
        <f>F20+J20+N20</f>
        <v>137</v>
      </c>
    </row>
    <row r="6" spans="2:17" ht="17" x14ac:dyDescent="0.2">
      <c r="B6" s="9" t="s">
        <v>70</v>
      </c>
      <c r="C6" s="8"/>
      <c r="D6" s="8"/>
      <c r="E6" s="8"/>
      <c r="F6" s="8">
        <f t="shared" ref="F6:F19" si="0">C6+D6+E6</f>
        <v>0</v>
      </c>
      <c r="G6" s="8"/>
      <c r="H6" s="8"/>
      <c r="I6" s="8"/>
      <c r="J6" s="8">
        <f t="shared" ref="J6:J19" si="1">G6+H6+I6</f>
        <v>0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75</v>
      </c>
    </row>
    <row r="7" spans="2:17" ht="17" x14ac:dyDescent="0.2">
      <c r="B7" s="9" t="s">
        <v>59</v>
      </c>
      <c r="C7" s="8"/>
      <c r="D7" s="8"/>
      <c r="E7" s="8"/>
      <c r="F7" s="8">
        <f t="shared" si="0"/>
        <v>0</v>
      </c>
      <c r="G7" s="8">
        <v>25</v>
      </c>
      <c r="H7" s="8">
        <v>10</v>
      </c>
      <c r="I7" s="8">
        <v>17</v>
      </c>
      <c r="J7" s="8">
        <f t="shared" si="1"/>
        <v>52</v>
      </c>
      <c r="K7" s="8">
        <v>1</v>
      </c>
      <c r="L7" s="8"/>
      <c r="M7" s="8">
        <v>2</v>
      </c>
      <c r="N7" s="8">
        <f t="shared" si="2"/>
        <v>3</v>
      </c>
      <c r="P7" s="10" t="s">
        <v>167</v>
      </c>
      <c r="Q7" s="8">
        <f>D20+H20+L20</f>
        <v>19</v>
      </c>
    </row>
    <row r="8" spans="2:17" ht="17" x14ac:dyDescent="0.2">
      <c r="B8" s="9" t="s">
        <v>68</v>
      </c>
      <c r="C8" s="8"/>
      <c r="D8" s="8"/>
      <c r="E8" s="8"/>
      <c r="F8" s="8">
        <f t="shared" si="0"/>
        <v>0</v>
      </c>
      <c r="G8" s="8">
        <v>2</v>
      </c>
      <c r="H8" s="8">
        <v>1</v>
      </c>
      <c r="I8" s="8">
        <v>1</v>
      </c>
      <c r="J8" s="8">
        <f t="shared" si="1"/>
        <v>4</v>
      </c>
      <c r="K8" s="8">
        <v>1</v>
      </c>
      <c r="L8" s="8"/>
      <c r="M8" s="8"/>
      <c r="N8" s="8">
        <f t="shared" si="2"/>
        <v>1</v>
      </c>
      <c r="P8" s="10" t="s">
        <v>168</v>
      </c>
      <c r="Q8" s="8">
        <f>E20+I20+M20</f>
        <v>43</v>
      </c>
    </row>
    <row r="9" spans="2:17" ht="17" x14ac:dyDescent="0.2">
      <c r="B9" s="9" t="s">
        <v>95</v>
      </c>
      <c r="C9" s="8"/>
      <c r="D9" s="8"/>
      <c r="E9" s="8"/>
      <c r="F9" s="8">
        <f t="shared" si="0"/>
        <v>0</v>
      </c>
      <c r="G9" s="8">
        <v>15</v>
      </c>
      <c r="H9" s="8">
        <v>2</v>
      </c>
      <c r="I9" s="8">
        <v>5</v>
      </c>
      <c r="J9" s="8">
        <f t="shared" si="1"/>
        <v>22</v>
      </c>
      <c r="K9" s="8">
        <v>1</v>
      </c>
      <c r="L9" s="8"/>
      <c r="M9" s="8"/>
      <c r="N9" s="8">
        <f t="shared" si="2"/>
        <v>1</v>
      </c>
      <c r="P9" s="10" t="s">
        <v>169</v>
      </c>
      <c r="Q9" s="8">
        <f>Q6+(0.5*Q7)</f>
        <v>84.5</v>
      </c>
    </row>
    <row r="10" spans="2:17" ht="15" x14ac:dyDescent="0.2">
      <c r="B10" s="9" t="s">
        <v>74</v>
      </c>
      <c r="C10" s="8"/>
      <c r="D10" s="8"/>
      <c r="E10" s="8"/>
      <c r="F10" s="8">
        <f t="shared" si="0"/>
        <v>0</v>
      </c>
      <c r="G10" s="8">
        <v>19</v>
      </c>
      <c r="H10" s="8">
        <v>3</v>
      </c>
      <c r="I10" s="8">
        <v>2</v>
      </c>
      <c r="J10" s="8">
        <f t="shared" si="1"/>
        <v>24</v>
      </c>
      <c r="K10" s="8">
        <v>1</v>
      </c>
      <c r="L10" s="8"/>
      <c r="M10" s="8"/>
      <c r="N10" s="8">
        <f t="shared" si="2"/>
        <v>1</v>
      </c>
      <c r="P10" s="11" t="s">
        <v>157</v>
      </c>
      <c r="Q10" s="12">
        <f>Q9/Q5</f>
        <v>0.61678832116788318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70</v>
      </c>
      <c r="H20" s="75">
        <f t="shared" si="3"/>
        <v>19</v>
      </c>
      <c r="I20" s="75">
        <f t="shared" si="3"/>
        <v>41</v>
      </c>
      <c r="J20" s="75">
        <f t="shared" si="3"/>
        <v>130</v>
      </c>
      <c r="K20" s="75">
        <f t="shared" si="3"/>
        <v>5</v>
      </c>
      <c r="L20" s="75">
        <f t="shared" si="3"/>
        <v>0</v>
      </c>
      <c r="M20" s="75">
        <f t="shared" si="3"/>
        <v>2</v>
      </c>
      <c r="N20" s="75">
        <f t="shared" si="3"/>
        <v>7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56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30</v>
      </c>
    </row>
    <row r="26" spans="2:17" ht="17" x14ac:dyDescent="0.2">
      <c r="B26" s="9" t="s">
        <v>100</v>
      </c>
      <c r="C26" s="8"/>
      <c r="D26" s="8"/>
      <c r="E26" s="8"/>
      <c r="F26" s="8">
        <f>C26+D26+E26</f>
        <v>0</v>
      </c>
      <c r="G26" s="8">
        <v>7</v>
      </c>
      <c r="H26" s="8"/>
      <c r="I26" s="8">
        <v>1</v>
      </c>
      <c r="J26" s="8">
        <f>G26+H26+I26</f>
        <v>8</v>
      </c>
      <c r="K26" s="8">
        <v>1</v>
      </c>
      <c r="L26" s="8"/>
      <c r="M26" s="8">
        <v>1</v>
      </c>
      <c r="N26" s="8">
        <f>K26+L26+M26</f>
        <v>2</v>
      </c>
      <c r="P26" s="10" t="s">
        <v>167</v>
      </c>
      <c r="Q26" s="8">
        <f>D32+H32+L32</f>
        <v>8</v>
      </c>
    </row>
    <row r="27" spans="2:17" ht="17" x14ac:dyDescent="0.2">
      <c r="B27" s="9" t="s">
        <v>98</v>
      </c>
      <c r="C27" s="8"/>
      <c r="D27" s="8"/>
      <c r="E27" s="8"/>
      <c r="F27" s="8">
        <f t="shared" ref="F27:F31" si="4">C27+D27+E27</f>
        <v>0</v>
      </c>
      <c r="G27" s="8">
        <v>7</v>
      </c>
      <c r="H27" s="8">
        <v>3</v>
      </c>
      <c r="I27" s="8">
        <v>5</v>
      </c>
      <c r="J27" s="8">
        <f t="shared" ref="J27:J31" si="5">G27+H27+I27</f>
        <v>15</v>
      </c>
      <c r="K27" s="8">
        <v>1</v>
      </c>
      <c r="L27" s="8"/>
      <c r="M27" s="8">
        <v>2</v>
      </c>
      <c r="N27" s="8">
        <f t="shared" ref="N27:N31" si="6">K27+L27+M27</f>
        <v>3</v>
      </c>
      <c r="P27" s="10" t="s">
        <v>168</v>
      </c>
      <c r="Q27" s="8">
        <f>E32+I32+M32</f>
        <v>18</v>
      </c>
    </row>
    <row r="28" spans="2:17" ht="17" x14ac:dyDescent="0.2">
      <c r="B28" s="9" t="s">
        <v>102</v>
      </c>
      <c r="C28" s="8"/>
      <c r="D28" s="8"/>
      <c r="E28" s="8"/>
      <c r="F28" s="8">
        <f t="shared" si="4"/>
        <v>0</v>
      </c>
      <c r="G28" s="8">
        <v>13</v>
      </c>
      <c r="H28" s="8">
        <v>5</v>
      </c>
      <c r="I28" s="8">
        <v>9</v>
      </c>
      <c r="J28" s="8">
        <f t="shared" si="5"/>
        <v>27</v>
      </c>
      <c r="K28" s="8">
        <v>1</v>
      </c>
      <c r="L28" s="8"/>
      <c r="M28" s="8"/>
      <c r="N28" s="8">
        <f t="shared" si="6"/>
        <v>1</v>
      </c>
      <c r="P28" s="10" t="s">
        <v>169</v>
      </c>
      <c r="Q28" s="8">
        <f t="shared" ref="Q28" si="7">Q25+(0.5*Q26)</f>
        <v>34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0.6071428571428571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27</v>
      </c>
      <c r="H32" s="75">
        <f t="shared" si="9"/>
        <v>8</v>
      </c>
      <c r="I32" s="75">
        <f t="shared" si="9"/>
        <v>15</v>
      </c>
      <c r="J32" s="75">
        <f t="shared" si="9"/>
        <v>50</v>
      </c>
      <c r="K32" s="75">
        <f t="shared" si="9"/>
        <v>3</v>
      </c>
      <c r="L32" s="75">
        <f t="shared" si="9"/>
        <v>0</v>
      </c>
      <c r="M32" s="75">
        <f t="shared" si="9"/>
        <v>3</v>
      </c>
      <c r="N32" s="75">
        <f t="shared" si="9"/>
        <v>6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ht="15" customHeight="1" x14ac:dyDescent="0.2">
      <c r="B37" s="77" t="s">
        <v>158</v>
      </c>
      <c r="C37" s="77" t="s">
        <v>76</v>
      </c>
      <c r="D37" s="77">
        <v>154</v>
      </c>
    </row>
    <row r="38" spans="2:7" ht="15" customHeight="1" x14ac:dyDescent="0.2">
      <c r="B38" s="77" t="s">
        <v>159</v>
      </c>
      <c r="C38" s="77" t="s">
        <v>77</v>
      </c>
      <c r="D38" s="78">
        <v>100</v>
      </c>
    </row>
    <row r="39" spans="2:7" ht="15" customHeight="1" x14ac:dyDescent="0.2">
      <c r="B39" s="77" t="s">
        <v>160</v>
      </c>
      <c r="C39" s="77" t="s">
        <v>78</v>
      </c>
      <c r="D39" s="79">
        <v>54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5.9401667504828168</v>
      </c>
    </row>
    <row r="42" spans="2:7" ht="15" customHeight="1" x14ac:dyDescent="0.2"/>
    <row r="43" spans="2:7" ht="15" customHeight="1" x14ac:dyDescent="0.2"/>
    <row r="44" spans="2:7" ht="15" customHeight="1" x14ac:dyDescent="0.2"/>
    <row r="45" spans="2:7" ht="15" customHeight="1" x14ac:dyDescent="0.2"/>
    <row r="46" spans="2:7" ht="15" customHeight="1" x14ac:dyDescent="0.2"/>
    <row r="47" spans="2:7" ht="15" customHeight="1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14B3-6F9A-F34F-BD2F-80999FC4AC82}">
  <sheetPr codeName="Sheet31"/>
  <dimension ref="B3:Q44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5.1640625" customWidth="1"/>
    <col min="8" max="8" width="15" customWidth="1"/>
    <col min="12" max="12" width="16.3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91</v>
      </c>
      <c r="C5" s="8"/>
      <c r="D5" s="8"/>
      <c r="E5" s="8"/>
      <c r="F5" s="8">
        <f>C5+D5+E5</f>
        <v>0</v>
      </c>
      <c r="G5" s="8">
        <v>12</v>
      </c>
      <c r="H5" s="8"/>
      <c r="I5" s="8">
        <v>5</v>
      </c>
      <c r="J5" s="8">
        <f>G5+H5+I5</f>
        <v>17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99</v>
      </c>
    </row>
    <row r="6" spans="2:17" ht="17" x14ac:dyDescent="0.2">
      <c r="B6" s="9" t="s">
        <v>57</v>
      </c>
      <c r="C6" s="8"/>
      <c r="D6" s="8"/>
      <c r="E6" s="8"/>
      <c r="F6" s="8">
        <f t="shared" ref="F6:F19" si="0">C6+D6+E6</f>
        <v>0</v>
      </c>
      <c r="G6" s="8">
        <v>4</v>
      </c>
      <c r="H6" s="8">
        <v>2</v>
      </c>
      <c r="I6" s="8">
        <v>13</v>
      </c>
      <c r="J6" s="8">
        <f t="shared" ref="J6:J19" si="1">G6+H6+I6</f>
        <v>19</v>
      </c>
      <c r="K6" s="8">
        <v>1</v>
      </c>
      <c r="L6" s="8"/>
      <c r="M6" s="8"/>
      <c r="N6" s="8">
        <f t="shared" ref="N6:N19" si="2">K6+L6+M6</f>
        <v>1</v>
      </c>
      <c r="P6" s="10" t="s">
        <v>148</v>
      </c>
      <c r="Q6" s="8">
        <f>C20+G20+K20</f>
        <v>50</v>
      </c>
    </row>
    <row r="7" spans="2:17" ht="17" x14ac:dyDescent="0.2">
      <c r="B7" s="9" t="s">
        <v>59</v>
      </c>
      <c r="C7" s="8"/>
      <c r="D7" s="8"/>
      <c r="E7" s="8"/>
      <c r="F7" s="8">
        <f t="shared" si="0"/>
        <v>0</v>
      </c>
      <c r="G7" s="8">
        <v>30</v>
      </c>
      <c r="H7" s="8">
        <v>13</v>
      </c>
      <c r="I7" s="8">
        <v>15</v>
      </c>
      <c r="J7" s="8">
        <f t="shared" si="1"/>
        <v>58</v>
      </c>
      <c r="K7" s="8">
        <v>3</v>
      </c>
      <c r="L7" s="8"/>
      <c r="M7" s="8">
        <v>1</v>
      </c>
      <c r="N7" s="8">
        <f t="shared" si="2"/>
        <v>4</v>
      </c>
      <c r="P7" s="10" t="s">
        <v>167</v>
      </c>
      <c r="Q7" s="8">
        <f>D20+H20+L20</f>
        <v>15</v>
      </c>
    </row>
    <row r="8" spans="2:17" ht="17" x14ac:dyDescent="0.2">
      <c r="B8" s="9"/>
      <c r="C8" s="8"/>
      <c r="D8" s="8"/>
      <c r="E8" s="8"/>
      <c r="F8" s="8">
        <f t="shared" si="0"/>
        <v>0</v>
      </c>
      <c r="G8" s="8"/>
      <c r="H8" s="8"/>
      <c r="I8" s="8"/>
      <c r="J8" s="8">
        <f t="shared" si="1"/>
        <v>0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34</v>
      </c>
    </row>
    <row r="9" spans="2:17" ht="17" x14ac:dyDescent="0.2">
      <c r="B9" s="9"/>
      <c r="C9" s="8"/>
      <c r="D9" s="8"/>
      <c r="E9" s="8"/>
      <c r="F9" s="8">
        <f t="shared" si="0"/>
        <v>0</v>
      </c>
      <c r="G9" s="8"/>
      <c r="H9" s="8"/>
      <c r="I9" s="8"/>
      <c r="J9" s="8">
        <f t="shared" si="1"/>
        <v>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57.5</v>
      </c>
    </row>
    <row r="10" spans="2:17" ht="15" x14ac:dyDescent="0.2">
      <c r="B10" s="9"/>
      <c r="C10" s="8"/>
      <c r="D10" s="8"/>
      <c r="E10" s="8"/>
      <c r="F10" s="8">
        <f t="shared" si="0"/>
        <v>0</v>
      </c>
      <c r="G10" s="8"/>
      <c r="H10" s="8"/>
      <c r="I10" s="8"/>
      <c r="J10" s="8">
        <f t="shared" si="1"/>
        <v>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0.58080808080808077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0</v>
      </c>
      <c r="E20" s="75">
        <f t="shared" si="3"/>
        <v>0</v>
      </c>
      <c r="F20" s="75">
        <f t="shared" si="3"/>
        <v>0</v>
      </c>
      <c r="G20" s="75">
        <f t="shared" si="3"/>
        <v>46</v>
      </c>
      <c r="H20" s="75">
        <f t="shared" si="3"/>
        <v>15</v>
      </c>
      <c r="I20" s="75">
        <f t="shared" si="3"/>
        <v>33</v>
      </c>
      <c r="J20" s="75">
        <f t="shared" si="3"/>
        <v>94</v>
      </c>
      <c r="K20" s="75">
        <f t="shared" si="3"/>
        <v>4</v>
      </c>
      <c r="L20" s="75">
        <f t="shared" si="3"/>
        <v>0</v>
      </c>
      <c r="M20" s="75">
        <f t="shared" si="3"/>
        <v>1</v>
      </c>
      <c r="N20" s="75">
        <f t="shared" si="3"/>
        <v>5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58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24</v>
      </c>
    </row>
    <row r="26" spans="2:17" ht="17" x14ac:dyDescent="0.2">
      <c r="B26" s="9" t="s">
        <v>62</v>
      </c>
      <c r="C26" s="8"/>
      <c r="D26" s="8"/>
      <c r="E26" s="8"/>
      <c r="F26" s="8">
        <f>C26+D26+E26</f>
        <v>0</v>
      </c>
      <c r="G26" s="8">
        <v>6</v>
      </c>
      <c r="H26" s="8">
        <v>2</v>
      </c>
      <c r="I26" s="8">
        <v>14</v>
      </c>
      <c r="J26" s="8">
        <f>G26+H26+I26</f>
        <v>22</v>
      </c>
      <c r="K26" s="8">
        <v>1</v>
      </c>
      <c r="L26" s="8"/>
      <c r="M26" s="8"/>
      <c r="N26" s="8">
        <f>K26+L26+M26</f>
        <v>1</v>
      </c>
      <c r="P26" s="10" t="s">
        <v>167</v>
      </c>
      <c r="Q26" s="8">
        <f>D32+H32+L32</f>
        <v>8</v>
      </c>
    </row>
    <row r="27" spans="2:17" ht="17" x14ac:dyDescent="0.2">
      <c r="B27" s="9" t="s">
        <v>87</v>
      </c>
      <c r="C27" s="8"/>
      <c r="D27" s="8"/>
      <c r="E27" s="8"/>
      <c r="F27" s="8">
        <f t="shared" ref="F27:F31" si="4">C27+D27+E27</f>
        <v>0</v>
      </c>
      <c r="G27" s="8">
        <v>10</v>
      </c>
      <c r="H27" s="8">
        <v>5</v>
      </c>
      <c r="I27" s="8">
        <v>7</v>
      </c>
      <c r="J27" s="8">
        <f t="shared" ref="J27:J31" si="5">G27+H27+I27</f>
        <v>22</v>
      </c>
      <c r="K27" s="8">
        <v>1</v>
      </c>
      <c r="L27" s="8"/>
      <c r="M27" s="8"/>
      <c r="N27" s="8">
        <f t="shared" ref="N27:N31" si="6">K27+L27+M27</f>
        <v>1</v>
      </c>
      <c r="P27" s="10" t="s">
        <v>168</v>
      </c>
      <c r="Q27" s="8">
        <f>E32+I32+M32</f>
        <v>26</v>
      </c>
    </row>
    <row r="28" spans="2:17" ht="17" x14ac:dyDescent="0.2">
      <c r="B28" s="9" t="s">
        <v>84</v>
      </c>
      <c r="C28" s="8"/>
      <c r="D28" s="8"/>
      <c r="E28" s="8"/>
      <c r="F28" s="8">
        <f t="shared" si="4"/>
        <v>0</v>
      </c>
      <c r="G28" s="8">
        <v>5</v>
      </c>
      <c r="H28" s="8">
        <v>1</v>
      </c>
      <c r="I28" s="8">
        <v>4</v>
      </c>
      <c r="J28" s="8">
        <f t="shared" si="5"/>
        <v>10</v>
      </c>
      <c r="K28" s="8">
        <v>1</v>
      </c>
      <c r="L28" s="8"/>
      <c r="M28" s="8">
        <v>1</v>
      </c>
      <c r="N28" s="8">
        <f t="shared" si="6"/>
        <v>2</v>
      </c>
      <c r="P28" s="10" t="s">
        <v>169</v>
      </c>
      <c r="Q28" s="8">
        <f t="shared" ref="Q28" si="7">Q25+(0.5*Q26)</f>
        <v>28</v>
      </c>
    </row>
    <row r="29" spans="2:17" ht="15" x14ac:dyDescent="0.2">
      <c r="B29" s="9" t="s">
        <v>70</v>
      </c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0.48275862068965519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21</v>
      </c>
      <c r="H32" s="75">
        <f t="shared" si="9"/>
        <v>8</v>
      </c>
      <c r="I32" s="75">
        <f t="shared" si="9"/>
        <v>25</v>
      </c>
      <c r="J32" s="75">
        <f t="shared" si="9"/>
        <v>54</v>
      </c>
      <c r="K32" s="75">
        <f t="shared" si="9"/>
        <v>3</v>
      </c>
      <c r="L32" s="75">
        <f t="shared" si="9"/>
        <v>0</v>
      </c>
      <c r="M32" s="75">
        <f t="shared" si="9"/>
        <v>1</v>
      </c>
      <c r="N32" s="75">
        <f t="shared" si="9"/>
        <v>4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154</v>
      </c>
    </row>
    <row r="38" spans="2:7" x14ac:dyDescent="0.2">
      <c r="B38" s="77" t="s">
        <v>159</v>
      </c>
      <c r="C38" s="77" t="s">
        <v>77</v>
      </c>
      <c r="D38" s="78">
        <v>100</v>
      </c>
    </row>
    <row r="39" spans="2:7" x14ac:dyDescent="0.2">
      <c r="B39" s="77" t="s">
        <v>160</v>
      </c>
      <c r="C39" s="77" t="s">
        <v>78</v>
      </c>
      <c r="D39" s="79">
        <v>54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5.9401667504828168</v>
      </c>
    </row>
    <row r="44" spans="2:7" ht="15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EB49-FFE0-0B49-A7F5-D0F44E3CBFA0}">
  <sheetPr codeName="Sheet33"/>
  <dimension ref="B3:Q40"/>
  <sheetViews>
    <sheetView workbookViewId="0">
      <selection activeCell="P25" sqref="P25:P29"/>
    </sheetView>
  </sheetViews>
  <sheetFormatPr baseColWidth="10" defaultColWidth="11" defaultRowHeight="16" x14ac:dyDescent="0.2"/>
  <cols>
    <col min="2" max="2" width="21.5" customWidth="1"/>
    <col min="4" max="4" width="14.83203125" customWidth="1"/>
    <col min="8" max="8" width="14.83203125" customWidth="1"/>
    <col min="12" max="12" width="1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58</v>
      </c>
      <c r="C5" s="8"/>
      <c r="D5" s="8">
        <v>1</v>
      </c>
      <c r="E5" s="8">
        <v>2</v>
      </c>
      <c r="F5" s="8">
        <f>C5+D5+E5</f>
        <v>3</v>
      </c>
      <c r="G5" s="8">
        <v>25</v>
      </c>
      <c r="H5" s="8">
        <v>11</v>
      </c>
      <c r="I5" s="8">
        <v>30</v>
      </c>
      <c r="J5" s="8">
        <f>G5+H5+I5</f>
        <v>66</v>
      </c>
      <c r="K5" s="8">
        <v>1</v>
      </c>
      <c r="L5" s="8">
        <v>1</v>
      </c>
      <c r="M5" s="8">
        <v>2</v>
      </c>
      <c r="N5" s="8">
        <f>K5+L5+M5</f>
        <v>4</v>
      </c>
      <c r="P5" s="10" t="s">
        <v>50</v>
      </c>
      <c r="Q5" s="8">
        <f>F20+J20+N20</f>
        <v>324</v>
      </c>
    </row>
    <row r="6" spans="2:17" ht="17" x14ac:dyDescent="0.2">
      <c r="B6" s="9" t="s">
        <v>62</v>
      </c>
      <c r="C6" s="8"/>
      <c r="D6" s="8"/>
      <c r="E6" s="8">
        <v>1</v>
      </c>
      <c r="F6" s="8">
        <f t="shared" ref="F6:F19" si="0">C6+D6+E6</f>
        <v>1</v>
      </c>
      <c r="G6" s="8">
        <v>12</v>
      </c>
      <c r="H6" s="8">
        <v>2</v>
      </c>
      <c r="I6" s="8">
        <v>9</v>
      </c>
      <c r="J6" s="8">
        <f t="shared" ref="J6:J19" si="1">G6+H6+I6</f>
        <v>23</v>
      </c>
      <c r="K6" s="8">
        <v>1</v>
      </c>
      <c r="L6" s="8"/>
      <c r="M6" s="8">
        <v>1</v>
      </c>
      <c r="N6" s="8">
        <f t="shared" ref="N6:N19" si="2">K6+L6+M6</f>
        <v>2</v>
      </c>
      <c r="P6" s="10" t="s">
        <v>148</v>
      </c>
      <c r="Q6" s="8">
        <f>C20+G20+K20</f>
        <v>131</v>
      </c>
    </row>
    <row r="7" spans="2:17" ht="17" x14ac:dyDescent="0.2">
      <c r="B7" s="9" t="s">
        <v>92</v>
      </c>
      <c r="C7" s="8"/>
      <c r="D7" s="8"/>
      <c r="E7" s="8"/>
      <c r="F7" s="8">
        <f t="shared" si="0"/>
        <v>0</v>
      </c>
      <c r="G7" s="8">
        <v>11</v>
      </c>
      <c r="H7" s="8">
        <v>2</v>
      </c>
      <c r="I7" s="8">
        <v>11</v>
      </c>
      <c r="J7" s="8">
        <f t="shared" si="1"/>
        <v>24</v>
      </c>
      <c r="K7" s="8">
        <v>1</v>
      </c>
      <c r="L7" s="8"/>
      <c r="M7" s="8">
        <v>1</v>
      </c>
      <c r="N7" s="8">
        <f t="shared" si="2"/>
        <v>2</v>
      </c>
      <c r="P7" s="10" t="s">
        <v>167</v>
      </c>
      <c r="Q7" s="8">
        <f>D20+H20+L20</f>
        <v>52</v>
      </c>
    </row>
    <row r="8" spans="2:17" ht="17" x14ac:dyDescent="0.2">
      <c r="B8" s="9" t="s">
        <v>64</v>
      </c>
      <c r="C8" s="8">
        <v>1</v>
      </c>
      <c r="D8" s="8">
        <v>1</v>
      </c>
      <c r="E8" s="8">
        <v>3</v>
      </c>
      <c r="F8" s="8">
        <f t="shared" si="0"/>
        <v>5</v>
      </c>
      <c r="G8" s="8">
        <v>24</v>
      </c>
      <c r="H8" s="8">
        <v>13</v>
      </c>
      <c r="I8" s="8">
        <v>26</v>
      </c>
      <c r="J8" s="8">
        <f t="shared" si="1"/>
        <v>63</v>
      </c>
      <c r="K8" s="8">
        <v>1</v>
      </c>
      <c r="L8" s="8">
        <v>1</v>
      </c>
      <c r="M8" s="8">
        <v>3</v>
      </c>
      <c r="N8" s="8">
        <f t="shared" si="2"/>
        <v>5</v>
      </c>
      <c r="P8" s="10" t="s">
        <v>168</v>
      </c>
      <c r="Q8" s="8">
        <f>E20+I20+M20</f>
        <v>141</v>
      </c>
    </row>
    <row r="9" spans="2:17" ht="17" x14ac:dyDescent="0.2">
      <c r="B9" s="9" t="s">
        <v>87</v>
      </c>
      <c r="C9" s="8"/>
      <c r="D9" s="8"/>
      <c r="E9" s="8"/>
      <c r="F9" s="8">
        <f t="shared" si="0"/>
        <v>0</v>
      </c>
      <c r="G9" s="8">
        <v>13</v>
      </c>
      <c r="H9" s="8">
        <v>5</v>
      </c>
      <c r="I9" s="8">
        <v>8</v>
      </c>
      <c r="J9" s="8">
        <f t="shared" si="1"/>
        <v>26</v>
      </c>
      <c r="K9" s="8">
        <v>1</v>
      </c>
      <c r="L9" s="8"/>
      <c r="M9" s="8"/>
      <c r="N9" s="8">
        <f t="shared" si="2"/>
        <v>1</v>
      </c>
      <c r="P9" s="10" t="s">
        <v>169</v>
      </c>
      <c r="Q9" s="8">
        <f>Q6+(0.5*Q7)</f>
        <v>157</v>
      </c>
    </row>
    <row r="10" spans="2:17" ht="15" x14ac:dyDescent="0.2">
      <c r="B10" s="9" t="s">
        <v>66</v>
      </c>
      <c r="C10" s="8">
        <v>2</v>
      </c>
      <c r="D10" s="8">
        <v>1</v>
      </c>
      <c r="E10" s="8">
        <v>1</v>
      </c>
      <c r="F10" s="8">
        <f t="shared" si="0"/>
        <v>4</v>
      </c>
      <c r="G10" s="8">
        <v>7</v>
      </c>
      <c r="H10" s="8">
        <v>4</v>
      </c>
      <c r="I10" s="8">
        <v>9</v>
      </c>
      <c r="J10" s="8">
        <f t="shared" si="1"/>
        <v>20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0.48456790123456789</v>
      </c>
    </row>
    <row r="11" spans="2:17" ht="15" x14ac:dyDescent="0.2">
      <c r="B11" s="9" t="s">
        <v>67</v>
      </c>
      <c r="C11" s="8">
        <v>1</v>
      </c>
      <c r="D11" s="8"/>
      <c r="E11" s="8"/>
      <c r="F11" s="8">
        <f t="shared" si="0"/>
        <v>1</v>
      </c>
      <c r="G11" s="8">
        <v>22</v>
      </c>
      <c r="H11" s="8">
        <v>7</v>
      </c>
      <c r="I11" s="8">
        <v>29</v>
      </c>
      <c r="J11" s="8">
        <f t="shared" si="1"/>
        <v>58</v>
      </c>
      <c r="K11" s="8">
        <v>1</v>
      </c>
      <c r="L11" s="8"/>
      <c r="M11" s="8">
        <v>1</v>
      </c>
      <c r="N11" s="8">
        <f t="shared" si="2"/>
        <v>2</v>
      </c>
    </row>
    <row r="12" spans="2:17" ht="15" x14ac:dyDescent="0.2">
      <c r="B12" s="9" t="s">
        <v>69</v>
      </c>
      <c r="C12" s="8"/>
      <c r="D12" s="8">
        <v>1</v>
      </c>
      <c r="E12" s="8"/>
      <c r="F12" s="8">
        <f t="shared" si="0"/>
        <v>1</v>
      </c>
      <c r="G12" s="8">
        <v>5</v>
      </c>
      <c r="H12" s="8">
        <v>2</v>
      </c>
      <c r="I12" s="8">
        <v>4</v>
      </c>
      <c r="J12" s="8">
        <f t="shared" si="1"/>
        <v>11</v>
      </c>
      <c r="K12" s="8">
        <v>2</v>
      </c>
      <c r="L12" s="8"/>
      <c r="M12" s="8"/>
      <c r="N12" s="8">
        <f t="shared" si="2"/>
        <v>2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4</v>
      </c>
      <c r="D20" s="75">
        <f t="shared" si="3"/>
        <v>4</v>
      </c>
      <c r="E20" s="75">
        <f t="shared" si="3"/>
        <v>7</v>
      </c>
      <c r="F20" s="75">
        <f t="shared" si="3"/>
        <v>15</v>
      </c>
      <c r="G20" s="75">
        <f t="shared" si="3"/>
        <v>119</v>
      </c>
      <c r="H20" s="75">
        <f t="shared" si="3"/>
        <v>46</v>
      </c>
      <c r="I20" s="75">
        <f t="shared" si="3"/>
        <v>126</v>
      </c>
      <c r="J20" s="75">
        <f t="shared" si="3"/>
        <v>291</v>
      </c>
      <c r="K20" s="75">
        <f t="shared" si="3"/>
        <v>8</v>
      </c>
      <c r="L20" s="75">
        <f t="shared" si="3"/>
        <v>2</v>
      </c>
      <c r="M20" s="75">
        <f t="shared" si="3"/>
        <v>8</v>
      </c>
      <c r="N20" s="75">
        <f t="shared" si="3"/>
        <v>18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94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42</v>
      </c>
    </row>
    <row r="26" spans="2:17" ht="17" x14ac:dyDescent="0.2">
      <c r="B26" s="9" t="s">
        <v>75</v>
      </c>
      <c r="C26" s="8"/>
      <c r="D26" s="8"/>
      <c r="E26" s="8"/>
      <c r="F26" s="8">
        <f>C26+D26+E26</f>
        <v>0</v>
      </c>
      <c r="G26" s="8">
        <v>18</v>
      </c>
      <c r="H26" s="8">
        <v>8</v>
      </c>
      <c r="I26" s="8">
        <v>6</v>
      </c>
      <c r="J26" s="8">
        <f>G26+H26+I26</f>
        <v>32</v>
      </c>
      <c r="K26" s="8">
        <v>2</v>
      </c>
      <c r="L26" s="8"/>
      <c r="M26" s="8">
        <v>1</v>
      </c>
      <c r="N26" s="8">
        <f>K26+L26+M26</f>
        <v>3</v>
      </c>
      <c r="P26" s="10" t="s">
        <v>167</v>
      </c>
      <c r="Q26" s="8">
        <f>D32+H32+L32</f>
        <v>18</v>
      </c>
    </row>
    <row r="27" spans="2:17" ht="17" x14ac:dyDescent="0.2">
      <c r="B27" s="9" t="s">
        <v>98</v>
      </c>
      <c r="C27" s="8"/>
      <c r="D27" s="8"/>
      <c r="E27" s="8"/>
      <c r="F27" s="8">
        <f t="shared" ref="F27:F31" si="4">C27+D27+E27</f>
        <v>0</v>
      </c>
      <c r="G27" s="8">
        <v>4</v>
      </c>
      <c r="H27" s="8">
        <v>5</v>
      </c>
      <c r="I27" s="8">
        <v>6</v>
      </c>
      <c r="J27" s="8">
        <f t="shared" ref="J27:J31" si="5">G27+H27+I27</f>
        <v>15</v>
      </c>
      <c r="K27" s="8">
        <v>3</v>
      </c>
      <c r="L27" s="8"/>
      <c r="M27" s="8"/>
      <c r="N27" s="8">
        <f t="shared" ref="N27:N31" si="6">K27+L27+M27</f>
        <v>3</v>
      </c>
      <c r="P27" s="10" t="s">
        <v>168</v>
      </c>
      <c r="Q27" s="8">
        <f>E32+I32+M32</f>
        <v>34</v>
      </c>
    </row>
    <row r="28" spans="2:17" ht="17" x14ac:dyDescent="0.2">
      <c r="B28" s="9" t="s">
        <v>118</v>
      </c>
      <c r="C28" s="8"/>
      <c r="D28" s="8"/>
      <c r="E28" s="8"/>
      <c r="F28" s="8">
        <f t="shared" si="4"/>
        <v>0</v>
      </c>
      <c r="G28" s="8">
        <v>4</v>
      </c>
      <c r="H28" s="8">
        <v>1</v>
      </c>
      <c r="I28" s="8">
        <v>10</v>
      </c>
      <c r="J28" s="8">
        <f t="shared" si="5"/>
        <v>15</v>
      </c>
      <c r="K28" s="8"/>
      <c r="L28" s="8">
        <v>1</v>
      </c>
      <c r="M28" s="8"/>
      <c r="N28" s="8">
        <f t="shared" si="6"/>
        <v>1</v>
      </c>
      <c r="P28" s="10" t="s">
        <v>169</v>
      </c>
      <c r="Q28" s="8">
        <f t="shared" ref="Q28" si="7">Q25+(0.5*Q26)</f>
        <v>51</v>
      </c>
    </row>
    <row r="29" spans="2:17" ht="15" x14ac:dyDescent="0.2">
      <c r="B29" s="9" t="s">
        <v>95</v>
      </c>
      <c r="C29" s="8"/>
      <c r="D29" s="8"/>
      <c r="E29" s="8"/>
      <c r="F29" s="8">
        <f t="shared" si="4"/>
        <v>0</v>
      </c>
      <c r="G29" s="8">
        <v>10</v>
      </c>
      <c r="H29" s="8">
        <v>3</v>
      </c>
      <c r="I29" s="8">
        <v>11</v>
      </c>
      <c r="J29" s="8">
        <f t="shared" si="5"/>
        <v>24</v>
      </c>
      <c r="K29" s="8">
        <v>1</v>
      </c>
      <c r="L29" s="8"/>
      <c r="M29" s="8"/>
      <c r="N29" s="8">
        <f t="shared" si="6"/>
        <v>1</v>
      </c>
      <c r="P29" s="11" t="s">
        <v>157</v>
      </c>
      <c r="Q29" s="12">
        <f t="shared" ref="Q29" si="8">Q28/Q24</f>
        <v>0.54255319148936165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36</v>
      </c>
      <c r="H32" s="75">
        <f t="shared" si="9"/>
        <v>17</v>
      </c>
      <c r="I32" s="75">
        <f t="shared" si="9"/>
        <v>33</v>
      </c>
      <c r="J32" s="75">
        <f t="shared" si="9"/>
        <v>86</v>
      </c>
      <c r="K32" s="75">
        <f t="shared" si="9"/>
        <v>6</v>
      </c>
      <c r="L32" s="75">
        <f t="shared" si="9"/>
        <v>1</v>
      </c>
      <c r="M32" s="75">
        <f t="shared" si="9"/>
        <v>1</v>
      </c>
      <c r="N32" s="75">
        <f t="shared" si="9"/>
        <v>8</v>
      </c>
    </row>
    <row r="35" spans="2:7" x14ac:dyDescent="0.2">
      <c r="B35" s="75" t="s">
        <v>161</v>
      </c>
      <c r="C35" s="80" t="s">
        <v>162</v>
      </c>
      <c r="D35" s="80" t="s">
        <v>163</v>
      </c>
      <c r="F35" s="180"/>
      <c r="G35" s="180"/>
    </row>
    <row r="36" spans="2:7" x14ac:dyDescent="0.2">
      <c r="B36" s="77" t="s">
        <v>158</v>
      </c>
      <c r="C36" s="77" t="s">
        <v>76</v>
      </c>
      <c r="D36" s="77">
        <v>37</v>
      </c>
    </row>
    <row r="37" spans="2:7" x14ac:dyDescent="0.2">
      <c r="B37" s="77" t="s">
        <v>159</v>
      </c>
      <c r="C37" s="77" t="s">
        <v>77</v>
      </c>
      <c r="D37" s="78">
        <v>9</v>
      </c>
    </row>
    <row r="38" spans="2:7" x14ac:dyDescent="0.2">
      <c r="B38" s="77" t="s">
        <v>160</v>
      </c>
      <c r="C38" s="77" t="s">
        <v>78</v>
      </c>
      <c r="D38" s="79">
        <v>28</v>
      </c>
    </row>
    <row r="39" spans="2:7" x14ac:dyDescent="0.2">
      <c r="B39" s="77" t="s">
        <v>164</v>
      </c>
      <c r="C39" s="77" t="s">
        <v>79</v>
      </c>
      <c r="D39" s="77">
        <v>2</v>
      </c>
    </row>
    <row r="40" spans="2:7" x14ac:dyDescent="0.2">
      <c r="B40" s="53" t="s">
        <v>166</v>
      </c>
      <c r="C40" s="53" t="s">
        <v>139</v>
      </c>
      <c r="D40" s="76">
        <f>SIGN(D37-D38)*LOG(ABS(D37-D38)+(D36/10),D39)</f>
        <v>-4.5046203924035533</v>
      </c>
    </row>
  </sheetData>
  <mergeCells count="9">
    <mergeCell ref="F35:G35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693B-5065-CE44-AB9B-7E1F5AAA6B70}">
  <sheetPr codeName="Sheet32"/>
  <dimension ref="B3:Q44"/>
  <sheetViews>
    <sheetView workbookViewId="0">
      <selection activeCell="I45" sqref="I45"/>
    </sheetView>
  </sheetViews>
  <sheetFormatPr baseColWidth="10" defaultColWidth="11" defaultRowHeight="16" x14ac:dyDescent="0.2"/>
  <cols>
    <col min="2" max="2" width="21.5" customWidth="1"/>
    <col min="4" max="4" width="14.5" customWidth="1"/>
    <col min="8" max="8" width="15" customWidth="1"/>
    <col min="12" max="12" width="14.83203125" customWidth="1"/>
    <col min="16" max="16" width="41" customWidth="1"/>
  </cols>
  <sheetData>
    <row r="3" spans="2:17" ht="15" customHeight="1" x14ac:dyDescent="0.2">
      <c r="B3" s="176" t="s">
        <v>154</v>
      </c>
      <c r="C3" s="179" t="s">
        <v>151</v>
      </c>
      <c r="D3" s="179"/>
      <c r="E3" s="179"/>
      <c r="F3" s="179"/>
      <c r="G3" s="179" t="s">
        <v>152</v>
      </c>
      <c r="H3" s="179"/>
      <c r="I3" s="179"/>
      <c r="J3" s="179"/>
      <c r="K3" s="179" t="s">
        <v>153</v>
      </c>
      <c r="L3" s="179"/>
      <c r="M3" s="179"/>
      <c r="N3" s="179"/>
    </row>
    <row r="4" spans="2:17" ht="15" customHeight="1" x14ac:dyDescent="0.2">
      <c r="B4" s="177"/>
      <c r="C4" s="45" t="s">
        <v>148</v>
      </c>
      <c r="D4" s="45" t="s">
        <v>149</v>
      </c>
      <c r="E4" s="45" t="s">
        <v>150</v>
      </c>
      <c r="F4" s="45" t="s">
        <v>55</v>
      </c>
      <c r="G4" s="45" t="s">
        <v>148</v>
      </c>
      <c r="H4" s="45" t="s">
        <v>149</v>
      </c>
      <c r="I4" s="45" t="s">
        <v>150</v>
      </c>
      <c r="J4" s="45" t="s">
        <v>55</v>
      </c>
      <c r="K4" s="45" t="s">
        <v>148</v>
      </c>
      <c r="L4" s="45" t="s">
        <v>149</v>
      </c>
      <c r="M4" s="45" t="s">
        <v>150</v>
      </c>
      <c r="N4" s="45" t="s">
        <v>55</v>
      </c>
    </row>
    <row r="5" spans="2:17" ht="34" x14ac:dyDescent="0.2">
      <c r="B5" s="9" t="s">
        <v>57</v>
      </c>
      <c r="C5" s="8"/>
      <c r="D5" s="8"/>
      <c r="E5" s="8"/>
      <c r="F5" s="8">
        <f>C5+D5+E5</f>
        <v>0</v>
      </c>
      <c r="G5" s="8">
        <v>9</v>
      </c>
      <c r="H5" s="8">
        <v>5</v>
      </c>
      <c r="I5" s="8">
        <v>7</v>
      </c>
      <c r="J5" s="8">
        <f>G5+H5+I5</f>
        <v>21</v>
      </c>
      <c r="K5" s="8"/>
      <c r="L5" s="8"/>
      <c r="M5" s="8"/>
      <c r="N5" s="8">
        <f>K5+L5+M5</f>
        <v>0</v>
      </c>
      <c r="P5" s="10" t="s">
        <v>50</v>
      </c>
      <c r="Q5" s="8">
        <f>F20+J20+N20</f>
        <v>193</v>
      </c>
    </row>
    <row r="6" spans="2:17" ht="17" x14ac:dyDescent="0.2">
      <c r="B6" s="9" t="s">
        <v>59</v>
      </c>
      <c r="C6" s="8"/>
      <c r="D6" s="8">
        <v>1</v>
      </c>
      <c r="E6" s="8"/>
      <c r="F6" s="8">
        <f t="shared" ref="F6:F19" si="0">C6+D6+E6</f>
        <v>1</v>
      </c>
      <c r="G6" s="8">
        <v>32</v>
      </c>
      <c r="H6" s="8">
        <v>11</v>
      </c>
      <c r="I6" s="8">
        <v>25</v>
      </c>
      <c r="J6" s="8">
        <f t="shared" ref="J6:J19" si="1">G6+H6+I6</f>
        <v>68</v>
      </c>
      <c r="K6" s="8"/>
      <c r="L6" s="8"/>
      <c r="M6" s="8"/>
      <c r="N6" s="8">
        <f t="shared" ref="N6:N19" si="2">K6+L6+M6</f>
        <v>0</v>
      </c>
      <c r="P6" s="10" t="s">
        <v>148</v>
      </c>
      <c r="Q6" s="8">
        <f>C20+G20+K20</f>
        <v>84</v>
      </c>
    </row>
    <row r="7" spans="2:17" ht="17" x14ac:dyDescent="0.2">
      <c r="B7" s="9" t="s">
        <v>66</v>
      </c>
      <c r="C7" s="8"/>
      <c r="D7" s="8"/>
      <c r="E7" s="8">
        <v>1</v>
      </c>
      <c r="F7" s="8">
        <f t="shared" si="0"/>
        <v>1</v>
      </c>
      <c r="G7" s="8">
        <v>5</v>
      </c>
      <c r="H7" s="8">
        <v>5</v>
      </c>
      <c r="I7" s="8">
        <v>8</v>
      </c>
      <c r="J7" s="8">
        <f t="shared" si="1"/>
        <v>18</v>
      </c>
      <c r="K7" s="8"/>
      <c r="L7" s="8"/>
      <c r="M7" s="8"/>
      <c r="N7" s="8">
        <f t="shared" si="2"/>
        <v>0</v>
      </c>
      <c r="P7" s="10" t="s">
        <v>167</v>
      </c>
      <c r="Q7" s="8">
        <f>D20+H20+L20</f>
        <v>39</v>
      </c>
    </row>
    <row r="8" spans="2:17" ht="17" x14ac:dyDescent="0.2">
      <c r="B8" s="9" t="s">
        <v>67</v>
      </c>
      <c r="C8" s="8"/>
      <c r="D8" s="8">
        <v>1</v>
      </c>
      <c r="E8" s="8"/>
      <c r="F8" s="8">
        <f t="shared" si="0"/>
        <v>1</v>
      </c>
      <c r="G8" s="8">
        <v>30</v>
      </c>
      <c r="H8" s="8">
        <v>11</v>
      </c>
      <c r="I8" s="8">
        <v>16</v>
      </c>
      <c r="J8" s="8">
        <f t="shared" si="1"/>
        <v>57</v>
      </c>
      <c r="K8" s="8"/>
      <c r="L8" s="8"/>
      <c r="M8" s="8"/>
      <c r="N8" s="8">
        <f t="shared" si="2"/>
        <v>0</v>
      </c>
      <c r="P8" s="10" t="s">
        <v>168</v>
      </c>
      <c r="Q8" s="8">
        <f>E20+I20+M20</f>
        <v>70</v>
      </c>
    </row>
    <row r="9" spans="2:17" ht="17" x14ac:dyDescent="0.2">
      <c r="B9" s="9" t="s">
        <v>91</v>
      </c>
      <c r="C9" s="8"/>
      <c r="D9" s="8"/>
      <c r="E9" s="8"/>
      <c r="F9" s="8">
        <f t="shared" si="0"/>
        <v>0</v>
      </c>
      <c r="G9" s="8">
        <v>7</v>
      </c>
      <c r="H9" s="8">
        <v>4</v>
      </c>
      <c r="I9" s="8">
        <v>9</v>
      </c>
      <c r="J9" s="8">
        <f t="shared" si="1"/>
        <v>20</v>
      </c>
      <c r="K9" s="8"/>
      <c r="L9" s="8"/>
      <c r="M9" s="8"/>
      <c r="N9" s="8">
        <f t="shared" si="2"/>
        <v>0</v>
      </c>
      <c r="P9" s="10" t="s">
        <v>169</v>
      </c>
      <c r="Q9" s="8">
        <f>Q6+(0.5*Q7)</f>
        <v>103.5</v>
      </c>
    </row>
    <row r="10" spans="2:17" ht="15" x14ac:dyDescent="0.2">
      <c r="B10" s="9" t="s">
        <v>89</v>
      </c>
      <c r="C10" s="8"/>
      <c r="D10" s="8"/>
      <c r="E10" s="8"/>
      <c r="F10" s="8">
        <f t="shared" si="0"/>
        <v>0</v>
      </c>
      <c r="G10" s="8">
        <v>1</v>
      </c>
      <c r="H10" s="8">
        <v>1</v>
      </c>
      <c r="I10" s="8">
        <v>4</v>
      </c>
      <c r="J10" s="8">
        <f t="shared" si="1"/>
        <v>6</v>
      </c>
      <c r="K10" s="8"/>
      <c r="L10" s="8"/>
      <c r="M10" s="8"/>
      <c r="N10" s="8">
        <f t="shared" si="2"/>
        <v>0</v>
      </c>
      <c r="P10" s="11" t="s">
        <v>157</v>
      </c>
      <c r="Q10" s="12">
        <f>Q9/Q5</f>
        <v>0.53626943005181349</v>
      </c>
    </row>
    <row r="11" spans="2:17" ht="15" x14ac:dyDescent="0.2">
      <c r="B11" s="9"/>
      <c r="C11" s="8"/>
      <c r="D11" s="8"/>
      <c r="E11" s="8"/>
      <c r="F11" s="8">
        <f t="shared" si="0"/>
        <v>0</v>
      </c>
      <c r="G11" s="8"/>
      <c r="H11" s="8"/>
      <c r="I11" s="8"/>
      <c r="J11" s="8">
        <f t="shared" si="1"/>
        <v>0</v>
      </c>
      <c r="K11" s="8"/>
      <c r="L11" s="8"/>
      <c r="M11" s="8"/>
      <c r="N11" s="8">
        <f t="shared" si="2"/>
        <v>0</v>
      </c>
    </row>
    <row r="12" spans="2:17" ht="15" x14ac:dyDescent="0.2">
      <c r="B12" s="9"/>
      <c r="C12" s="8"/>
      <c r="D12" s="8"/>
      <c r="E12" s="8"/>
      <c r="F12" s="8">
        <f t="shared" si="0"/>
        <v>0</v>
      </c>
      <c r="G12" s="8"/>
      <c r="H12" s="8"/>
      <c r="I12" s="8"/>
      <c r="J12" s="8">
        <f t="shared" si="1"/>
        <v>0</v>
      </c>
      <c r="K12" s="8"/>
      <c r="L12" s="8"/>
      <c r="M12" s="8"/>
      <c r="N12" s="8">
        <f t="shared" si="2"/>
        <v>0</v>
      </c>
    </row>
    <row r="13" spans="2:17" ht="15" x14ac:dyDescent="0.2">
      <c r="B13" s="9"/>
      <c r="C13" s="8"/>
      <c r="D13" s="8"/>
      <c r="E13" s="8"/>
      <c r="F13" s="8">
        <f t="shared" si="0"/>
        <v>0</v>
      </c>
      <c r="G13" s="8"/>
      <c r="H13" s="8"/>
      <c r="I13" s="8"/>
      <c r="J13" s="8">
        <f t="shared" si="1"/>
        <v>0</v>
      </c>
      <c r="K13" s="8"/>
      <c r="L13" s="8"/>
      <c r="M13" s="8"/>
      <c r="N13" s="8">
        <f t="shared" si="2"/>
        <v>0</v>
      </c>
    </row>
    <row r="14" spans="2:17" ht="15" x14ac:dyDescent="0.2">
      <c r="B14" s="9"/>
      <c r="C14" s="8"/>
      <c r="D14" s="8"/>
      <c r="E14" s="8"/>
      <c r="F14" s="8">
        <f t="shared" si="0"/>
        <v>0</v>
      </c>
      <c r="G14" s="8"/>
      <c r="H14" s="8"/>
      <c r="I14" s="8"/>
      <c r="J14" s="8">
        <f t="shared" si="1"/>
        <v>0</v>
      </c>
      <c r="K14" s="8"/>
      <c r="L14" s="8"/>
      <c r="M14" s="8"/>
      <c r="N14" s="8">
        <f t="shared" si="2"/>
        <v>0</v>
      </c>
    </row>
    <row r="15" spans="2:17" ht="15" x14ac:dyDescent="0.2">
      <c r="B15" s="9"/>
      <c r="C15" s="8"/>
      <c r="D15" s="8"/>
      <c r="E15" s="8"/>
      <c r="F15" s="8">
        <f t="shared" si="0"/>
        <v>0</v>
      </c>
      <c r="G15" s="8"/>
      <c r="H15" s="8"/>
      <c r="I15" s="8"/>
      <c r="J15" s="8">
        <f t="shared" si="1"/>
        <v>0</v>
      </c>
      <c r="K15" s="8"/>
      <c r="L15" s="8"/>
      <c r="M15" s="8"/>
      <c r="N15" s="8">
        <f t="shared" si="2"/>
        <v>0</v>
      </c>
    </row>
    <row r="16" spans="2:17" ht="15" x14ac:dyDescent="0.2">
      <c r="B16" s="9"/>
      <c r="C16" s="8"/>
      <c r="D16" s="8"/>
      <c r="E16" s="8"/>
      <c r="F16" s="8">
        <f t="shared" si="0"/>
        <v>0</v>
      </c>
      <c r="G16" s="8"/>
      <c r="H16" s="8"/>
      <c r="I16" s="8"/>
      <c r="J16" s="8">
        <f t="shared" si="1"/>
        <v>0</v>
      </c>
      <c r="K16" s="8"/>
      <c r="L16" s="8"/>
      <c r="M16" s="8"/>
      <c r="N16" s="8">
        <f t="shared" si="2"/>
        <v>0</v>
      </c>
    </row>
    <row r="17" spans="2:17" ht="15" x14ac:dyDescent="0.2">
      <c r="B17" s="9"/>
      <c r="C17" s="8"/>
      <c r="D17" s="8"/>
      <c r="E17" s="8"/>
      <c r="F17" s="8">
        <f t="shared" si="0"/>
        <v>0</v>
      </c>
      <c r="G17" s="8"/>
      <c r="H17" s="8"/>
      <c r="I17" s="8"/>
      <c r="J17" s="8">
        <f t="shared" si="1"/>
        <v>0</v>
      </c>
      <c r="K17" s="8"/>
      <c r="L17" s="8"/>
      <c r="M17" s="8"/>
      <c r="N17" s="8">
        <f t="shared" si="2"/>
        <v>0</v>
      </c>
    </row>
    <row r="18" spans="2:17" ht="15" x14ac:dyDescent="0.2">
      <c r="B18" s="9"/>
      <c r="C18" s="8"/>
      <c r="D18" s="8"/>
      <c r="E18" s="8"/>
      <c r="F18" s="8">
        <f t="shared" si="0"/>
        <v>0</v>
      </c>
      <c r="G18" s="8"/>
      <c r="H18" s="8"/>
      <c r="I18" s="8"/>
      <c r="J18" s="8">
        <f t="shared" si="1"/>
        <v>0</v>
      </c>
      <c r="K18" s="8"/>
      <c r="L18" s="8"/>
      <c r="M18" s="8"/>
      <c r="N18" s="8">
        <f t="shared" si="2"/>
        <v>0</v>
      </c>
    </row>
    <row r="19" spans="2:17" ht="15" x14ac:dyDescent="0.2">
      <c r="B19" s="49"/>
      <c r="C19" s="50"/>
      <c r="D19" s="50"/>
      <c r="E19" s="50"/>
      <c r="F19" s="50">
        <f t="shared" si="0"/>
        <v>0</v>
      </c>
      <c r="G19" s="50"/>
      <c r="H19" s="50"/>
      <c r="I19" s="50"/>
      <c r="J19" s="50">
        <f t="shared" si="1"/>
        <v>0</v>
      </c>
      <c r="K19" s="50"/>
      <c r="L19" s="50"/>
      <c r="M19" s="50"/>
      <c r="N19" s="50">
        <f t="shared" si="2"/>
        <v>0</v>
      </c>
    </row>
    <row r="20" spans="2:17" x14ac:dyDescent="0.2">
      <c r="B20" s="75" t="s">
        <v>165</v>
      </c>
      <c r="C20" s="75">
        <f t="shared" ref="C20:N20" si="3">SUM(C5:C19)</f>
        <v>0</v>
      </c>
      <c r="D20" s="75">
        <f t="shared" si="3"/>
        <v>2</v>
      </c>
      <c r="E20" s="75">
        <f t="shared" si="3"/>
        <v>1</v>
      </c>
      <c r="F20" s="75">
        <f t="shared" si="3"/>
        <v>3</v>
      </c>
      <c r="G20" s="75">
        <f t="shared" si="3"/>
        <v>84</v>
      </c>
      <c r="H20" s="75">
        <f t="shared" si="3"/>
        <v>37</v>
      </c>
      <c r="I20" s="75">
        <f t="shared" si="3"/>
        <v>69</v>
      </c>
      <c r="J20" s="75">
        <f t="shared" si="3"/>
        <v>190</v>
      </c>
      <c r="K20" s="75">
        <f t="shared" si="3"/>
        <v>0</v>
      </c>
      <c r="L20" s="75">
        <f t="shared" si="3"/>
        <v>0</v>
      </c>
      <c r="M20" s="75">
        <f t="shared" si="3"/>
        <v>0</v>
      </c>
      <c r="N20" s="75">
        <f t="shared" si="3"/>
        <v>0</v>
      </c>
    </row>
    <row r="24" spans="2:17" ht="30" customHeight="1" x14ac:dyDescent="0.2">
      <c r="B24" s="176" t="s">
        <v>155</v>
      </c>
      <c r="C24" s="179" t="s">
        <v>151</v>
      </c>
      <c r="D24" s="179"/>
      <c r="E24" s="179"/>
      <c r="F24" s="179"/>
      <c r="G24" s="179" t="s">
        <v>152</v>
      </c>
      <c r="H24" s="179"/>
      <c r="I24" s="179"/>
      <c r="J24" s="179"/>
      <c r="K24" s="179" t="s">
        <v>153</v>
      </c>
      <c r="L24" s="179"/>
      <c r="M24" s="179"/>
      <c r="N24" s="179"/>
      <c r="P24" s="10" t="s">
        <v>53</v>
      </c>
      <c r="Q24" s="8">
        <f>F32+J32+N32</f>
        <v>27</v>
      </c>
    </row>
    <row r="25" spans="2:17" ht="30" customHeight="1" x14ac:dyDescent="0.2">
      <c r="B25" s="177"/>
      <c r="C25" s="45" t="s">
        <v>148</v>
      </c>
      <c r="D25" s="45" t="s">
        <v>149</v>
      </c>
      <c r="E25" s="45" t="s">
        <v>150</v>
      </c>
      <c r="F25" s="45" t="s">
        <v>55</v>
      </c>
      <c r="G25" s="45" t="s">
        <v>148</v>
      </c>
      <c r="H25" s="45" t="s">
        <v>149</v>
      </c>
      <c r="I25" s="45" t="s">
        <v>150</v>
      </c>
      <c r="J25" s="45" t="s">
        <v>55</v>
      </c>
      <c r="K25" s="45" t="s">
        <v>148</v>
      </c>
      <c r="L25" s="45" t="s">
        <v>149</v>
      </c>
      <c r="M25" s="45" t="s">
        <v>150</v>
      </c>
      <c r="N25" s="45" t="s">
        <v>55</v>
      </c>
      <c r="P25" s="10" t="s">
        <v>148</v>
      </c>
      <c r="Q25" s="8">
        <f>C32+G32+K32</f>
        <v>15</v>
      </c>
    </row>
    <row r="26" spans="2:17" ht="17" x14ac:dyDescent="0.2">
      <c r="B26" s="9" t="s">
        <v>74</v>
      </c>
      <c r="C26" s="8"/>
      <c r="D26" s="8"/>
      <c r="E26" s="8"/>
      <c r="F26" s="8">
        <f>C26+D26+E26</f>
        <v>0</v>
      </c>
      <c r="G26" s="8">
        <v>15</v>
      </c>
      <c r="H26" s="8">
        <v>3</v>
      </c>
      <c r="I26" s="8">
        <v>9</v>
      </c>
      <c r="J26" s="8">
        <f>G26+H26+I26</f>
        <v>27</v>
      </c>
      <c r="K26" s="8"/>
      <c r="L26" s="8"/>
      <c r="M26" s="8"/>
      <c r="N26" s="8">
        <f>K26+L26+M26</f>
        <v>0</v>
      </c>
      <c r="P26" s="10" t="s">
        <v>167</v>
      </c>
      <c r="Q26" s="8">
        <f>D32+H32+L32</f>
        <v>3</v>
      </c>
    </row>
    <row r="27" spans="2:17" ht="17" x14ac:dyDescent="0.2">
      <c r="B27" s="9"/>
      <c r="C27" s="8"/>
      <c r="D27" s="8"/>
      <c r="E27" s="8"/>
      <c r="F27" s="8">
        <f t="shared" ref="F27:F31" si="4">C27+D27+E27</f>
        <v>0</v>
      </c>
      <c r="G27" s="8"/>
      <c r="H27" s="8"/>
      <c r="I27" s="8"/>
      <c r="J27" s="8">
        <f t="shared" ref="J27:J31" si="5">G27+H27+I27</f>
        <v>0</v>
      </c>
      <c r="K27" s="8"/>
      <c r="L27" s="8"/>
      <c r="M27" s="8"/>
      <c r="N27" s="8">
        <f t="shared" ref="N27:N31" si="6">K27+L27+M27</f>
        <v>0</v>
      </c>
      <c r="P27" s="10" t="s">
        <v>168</v>
      </c>
      <c r="Q27" s="8">
        <f>E32+I32+M32</f>
        <v>9</v>
      </c>
    </row>
    <row r="28" spans="2:17" ht="17" x14ac:dyDescent="0.2">
      <c r="B28" s="9"/>
      <c r="C28" s="8"/>
      <c r="D28" s="8"/>
      <c r="E28" s="8"/>
      <c r="F28" s="8">
        <f t="shared" si="4"/>
        <v>0</v>
      </c>
      <c r="G28" s="8"/>
      <c r="H28" s="8"/>
      <c r="I28" s="8"/>
      <c r="J28" s="8">
        <f t="shared" si="5"/>
        <v>0</v>
      </c>
      <c r="K28" s="8"/>
      <c r="L28" s="8"/>
      <c r="M28" s="8"/>
      <c r="N28" s="8">
        <f t="shared" si="6"/>
        <v>0</v>
      </c>
      <c r="P28" s="10" t="s">
        <v>169</v>
      </c>
      <c r="Q28" s="8">
        <f t="shared" ref="Q28" si="7">Q25+(0.5*Q26)</f>
        <v>16.5</v>
      </c>
    </row>
    <row r="29" spans="2:17" ht="15" x14ac:dyDescent="0.2">
      <c r="B29" s="9"/>
      <c r="C29" s="8"/>
      <c r="D29" s="8"/>
      <c r="E29" s="8"/>
      <c r="F29" s="8">
        <f t="shared" si="4"/>
        <v>0</v>
      </c>
      <c r="G29" s="8"/>
      <c r="H29" s="8"/>
      <c r="I29" s="8"/>
      <c r="J29" s="8">
        <f t="shared" si="5"/>
        <v>0</v>
      </c>
      <c r="K29" s="8"/>
      <c r="L29" s="8"/>
      <c r="M29" s="8"/>
      <c r="N29" s="8">
        <f t="shared" si="6"/>
        <v>0</v>
      </c>
      <c r="P29" s="11" t="s">
        <v>157</v>
      </c>
      <c r="Q29" s="12">
        <f t="shared" ref="Q29" si="8">Q28/Q24</f>
        <v>0.61111111111111116</v>
      </c>
    </row>
    <row r="30" spans="2:17" ht="15" x14ac:dyDescent="0.2">
      <c r="B30" s="9"/>
      <c r="C30" s="8"/>
      <c r="D30" s="8"/>
      <c r="E30" s="8"/>
      <c r="F30" s="8">
        <f t="shared" si="4"/>
        <v>0</v>
      </c>
      <c r="G30" s="8"/>
      <c r="H30" s="8"/>
      <c r="I30" s="8"/>
      <c r="J30" s="8">
        <f t="shared" si="5"/>
        <v>0</v>
      </c>
      <c r="K30" s="8"/>
      <c r="L30" s="8"/>
      <c r="M30" s="8"/>
      <c r="N30" s="8">
        <f t="shared" si="6"/>
        <v>0</v>
      </c>
    </row>
    <row r="31" spans="2:17" ht="15" x14ac:dyDescent="0.2">
      <c r="B31" s="49"/>
      <c r="C31" s="50"/>
      <c r="D31" s="50"/>
      <c r="E31" s="50"/>
      <c r="F31" s="50">
        <f t="shared" si="4"/>
        <v>0</v>
      </c>
      <c r="G31" s="50"/>
      <c r="H31" s="50"/>
      <c r="I31" s="50"/>
      <c r="J31" s="50">
        <f t="shared" si="5"/>
        <v>0</v>
      </c>
      <c r="K31" s="50"/>
      <c r="L31" s="50"/>
      <c r="M31" s="50"/>
      <c r="N31" s="50">
        <f t="shared" si="6"/>
        <v>0</v>
      </c>
    </row>
    <row r="32" spans="2:17" x14ac:dyDescent="0.2">
      <c r="B32" s="75" t="s">
        <v>165</v>
      </c>
      <c r="C32" s="75">
        <f>SUM(C26:C31)</f>
        <v>0</v>
      </c>
      <c r="D32" s="75">
        <f t="shared" ref="D32:N32" si="9">SUM(D26:D31)</f>
        <v>0</v>
      </c>
      <c r="E32" s="75">
        <f t="shared" si="9"/>
        <v>0</v>
      </c>
      <c r="F32" s="75">
        <f t="shared" si="9"/>
        <v>0</v>
      </c>
      <c r="G32" s="75">
        <f t="shared" si="9"/>
        <v>15</v>
      </c>
      <c r="H32" s="75">
        <f t="shared" si="9"/>
        <v>3</v>
      </c>
      <c r="I32" s="75">
        <f t="shared" si="9"/>
        <v>9</v>
      </c>
      <c r="J32" s="75">
        <f t="shared" si="9"/>
        <v>27</v>
      </c>
      <c r="K32" s="75">
        <f t="shared" si="9"/>
        <v>0</v>
      </c>
      <c r="L32" s="75">
        <f t="shared" si="9"/>
        <v>0</v>
      </c>
      <c r="M32" s="75">
        <f t="shared" si="9"/>
        <v>0</v>
      </c>
      <c r="N32" s="75">
        <f t="shared" si="9"/>
        <v>0</v>
      </c>
    </row>
    <row r="36" spans="2:7" x14ac:dyDescent="0.2">
      <c r="B36" s="75" t="s">
        <v>161</v>
      </c>
      <c r="C36" s="80" t="s">
        <v>162</v>
      </c>
      <c r="D36" s="80" t="s">
        <v>163</v>
      </c>
      <c r="F36" s="180"/>
      <c r="G36" s="180"/>
    </row>
    <row r="37" spans="2:7" x14ac:dyDescent="0.2">
      <c r="B37" s="77" t="s">
        <v>158</v>
      </c>
      <c r="C37" s="77" t="s">
        <v>76</v>
      </c>
      <c r="D37" s="77">
        <v>131</v>
      </c>
    </row>
    <row r="38" spans="2:7" x14ac:dyDescent="0.2">
      <c r="B38" s="77" t="s">
        <v>159</v>
      </c>
      <c r="C38" s="77" t="s">
        <v>77</v>
      </c>
      <c r="D38" s="78">
        <v>69</v>
      </c>
    </row>
    <row r="39" spans="2:7" x14ac:dyDescent="0.2">
      <c r="B39" s="77" t="s">
        <v>160</v>
      </c>
      <c r="C39" s="77" t="s">
        <v>78</v>
      </c>
      <c r="D39" s="79">
        <v>62</v>
      </c>
    </row>
    <row r="40" spans="2:7" x14ac:dyDescent="0.2">
      <c r="B40" s="77" t="s">
        <v>164</v>
      </c>
      <c r="C40" s="77" t="s">
        <v>79</v>
      </c>
      <c r="D40" s="77">
        <v>2</v>
      </c>
    </row>
    <row r="41" spans="2:7" x14ac:dyDescent="0.2">
      <c r="B41" s="53" t="s">
        <v>166</v>
      </c>
      <c r="C41" s="53" t="s">
        <v>139</v>
      </c>
      <c r="D41" s="76">
        <f>SIGN(D38-D39)*LOG(ABS(D38-D39)+(D37/10),D40)</f>
        <v>4.3291235962915664</v>
      </c>
    </row>
    <row r="44" spans="2:7" ht="15" x14ac:dyDescent="0.2"/>
  </sheetData>
  <mergeCells count="9">
    <mergeCell ref="F36:G36"/>
    <mergeCell ref="C3:F3"/>
    <mergeCell ref="G3:J3"/>
    <mergeCell ref="K3:N3"/>
    <mergeCell ref="C24:F24"/>
    <mergeCell ref="G24:J24"/>
    <mergeCell ref="K24:N24"/>
    <mergeCell ref="B3:B4"/>
    <mergeCell ref="B2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READ ME</vt:lpstr>
      <vt:lpstr>Results</vt:lpstr>
      <vt:lpstr>Results by recommendation categ</vt:lpstr>
      <vt:lpstr>Duolingo</vt:lpstr>
      <vt:lpstr>Duolingo ABC</vt:lpstr>
      <vt:lpstr>Khan academy</vt:lpstr>
      <vt:lpstr>Khan academy kids</vt:lpstr>
      <vt:lpstr>Headspace</vt:lpstr>
      <vt:lpstr>FITBIT</vt:lpstr>
      <vt:lpstr>CodeAcademyGo</vt:lpstr>
      <vt:lpstr>Fortune city</vt:lpstr>
      <vt:lpstr>Habitica</vt:lpstr>
      <vt:lpstr>Memrise</vt:lpstr>
      <vt:lpstr>Brilliant</vt:lpstr>
      <vt:lpstr>Fabulous</vt:lpstr>
      <vt:lpstr>Clarify by fabulous</vt:lpstr>
      <vt:lpstr>Strava</vt:lpstr>
      <vt:lpstr>SuperBetter</vt:lpstr>
      <vt:lpstr>Lumosity</vt:lpstr>
      <vt:lpstr>Sidekick Health</vt:lpstr>
      <vt:lpstr>ABCmouse</vt:lpstr>
      <vt:lpstr>CogniFit</vt:lpstr>
      <vt:lpstr>Shape by fabulous</vt:lpstr>
      <vt:lpstr>Habit Tracker - Habit Mate</vt:lpstr>
      <vt:lpstr>TaskGame - Gamify your life</vt:lpstr>
      <vt:lpstr>Habio - Simple Habit Tracker</vt:lpstr>
      <vt:lpstr>Walken</vt:lpstr>
      <vt:lpstr>Narn  Habit Tracker &amp; Goals</vt:lpstr>
      <vt:lpstr>Aula Lengua</vt:lpstr>
      <vt:lpstr>Foursquare Swarm - Check In</vt:lpstr>
      <vt:lpstr>Roomsy  Chores Tracker &amp; Chart</vt:lpstr>
      <vt:lpstr>Fitmint - Walk &amp; Steps Tracker</vt:lpstr>
      <vt:lpstr>Workout Quest - Gamified Gym </vt:lpstr>
      <vt:lpstr>Death Reminder App</vt:lpstr>
      <vt:lpstr>Pharmacy Crack  Rx Drug Trivia</vt:lpstr>
      <vt:lpstr>Gametize  Explore Experiences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Kristina Magylaitė</dc:creator>
  <cp:keywords/>
  <dc:description/>
  <cp:lastModifiedBy>Kristina Magylaitė</cp:lastModifiedBy>
  <cp:revision/>
  <dcterms:created xsi:type="dcterms:W3CDTF">2024-12-15T12:33:45Z</dcterms:created>
  <dcterms:modified xsi:type="dcterms:W3CDTF">2026-04-11T08:44:47Z</dcterms:modified>
  <cp:category/>
  <cp:contentStatus/>
</cp:coreProperties>
</file>